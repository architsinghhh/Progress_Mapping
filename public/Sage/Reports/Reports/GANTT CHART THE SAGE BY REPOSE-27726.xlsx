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-120" yWindow="-120" windowWidth="20730" windowHeight="11160"/>
  </bookViews>
  <sheets>
    <sheet name="Gantt Chart" sheetId="1" r:id="rId1"/>
    <sheet name="Sheet1" sheetId="2" r:id="rId2"/>
  </sheets>
  <definedNames>
    <definedName name="_xlnm.Print_Area" localSheetId="0">'Gantt Chart'!$A$1:$AU$105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" i="1"/>
  <c r="F67" s="1"/>
  <c r="E66"/>
  <c r="F66" s="1"/>
  <c r="E65"/>
  <c r="F65" s="1"/>
  <c r="D64"/>
  <c r="E61"/>
  <c r="F61" s="1"/>
  <c r="E60"/>
  <c r="F60" s="1"/>
  <c r="E59"/>
  <c r="F59" s="1"/>
  <c r="F69"/>
  <c r="F68"/>
  <c r="F64"/>
  <c r="F58"/>
  <c r="F57"/>
  <c r="F56"/>
  <c r="E62"/>
  <c r="C62" s="1"/>
  <c r="F62" s="1"/>
  <c r="F77"/>
  <c r="F70"/>
  <c r="F49"/>
  <c r="F42"/>
  <c r="F35"/>
  <c r="F28"/>
  <c r="F21"/>
  <c r="F14"/>
  <c r="F79"/>
  <c r="F80"/>
  <c r="F81"/>
  <c r="F82"/>
  <c r="F83"/>
  <c r="F78"/>
  <c r="F72"/>
  <c r="F73"/>
  <c r="F74"/>
  <c r="F75"/>
  <c r="F76"/>
  <c r="F71"/>
  <c r="F51"/>
  <c r="F52"/>
  <c r="F53"/>
  <c r="F54"/>
  <c r="F55"/>
  <c r="F50"/>
  <c r="F44"/>
  <c r="F45"/>
  <c r="F46"/>
  <c r="F47"/>
  <c r="F48"/>
  <c r="F43"/>
  <c r="F37"/>
  <c r="F38"/>
  <c r="F39"/>
  <c r="F40"/>
  <c r="F41"/>
  <c r="F36"/>
  <c r="F30"/>
  <c r="F31"/>
  <c r="F32"/>
  <c r="F33"/>
  <c r="F34"/>
  <c r="F29"/>
  <c r="F23"/>
  <c r="F24"/>
  <c r="F25"/>
  <c r="F26"/>
  <c r="F27"/>
  <c r="F22"/>
  <c r="F17"/>
  <c r="F18"/>
  <c r="F19"/>
  <c r="F20"/>
  <c r="F16"/>
  <c r="F15"/>
  <c r="F94" l="1"/>
  <c r="F93"/>
  <c r="F92"/>
  <c r="F91"/>
  <c r="F84"/>
  <c r="F63"/>
  <c r="F85"/>
  <c r="F86"/>
  <c r="F87"/>
  <c r="F88"/>
  <c r="M101" l="1"/>
  <c r="F90"/>
  <c r="F89"/>
  <c r="H84" a="1"/>
  <c r="H84" s="1"/>
  <c r="H77" a="1"/>
  <c r="H77" s="1"/>
  <c r="H70" a="1"/>
  <c r="H70" s="1"/>
  <c r="H63" a="1"/>
  <c r="H63" s="1"/>
  <c r="H56" a="1"/>
  <c r="H56" s="1"/>
  <c r="H49" a="1"/>
  <c r="H49" s="1"/>
  <c r="H42" a="1"/>
  <c r="H42" s="1"/>
  <c r="H35" a="1"/>
  <c r="H35" s="1"/>
  <c r="H28" a="1"/>
  <c r="H28" s="1"/>
  <c r="H21" a="1"/>
  <c r="H21" s="1"/>
  <c r="H14" a="1"/>
  <c r="H14" s="1"/>
  <c r="H8"/>
  <c r="I4"/>
  <c r="I78" s="1"/>
  <c r="I17" l="1"/>
  <c r="I23"/>
  <c r="I26"/>
  <c r="I16"/>
  <c r="I20"/>
  <c r="I25"/>
  <c r="I19"/>
  <c r="I18"/>
  <c r="I28"/>
  <c r="I24"/>
  <c r="I32"/>
  <c r="I39"/>
  <c r="I49"/>
  <c r="I45"/>
  <c r="I27"/>
  <c r="I44"/>
  <c r="I48"/>
  <c r="I30"/>
  <c r="I33"/>
  <c r="I36"/>
  <c r="I22"/>
  <c r="I35"/>
  <c r="I38"/>
  <c r="I43"/>
  <c r="I57"/>
  <c r="I65"/>
  <c r="I34"/>
  <c r="I46"/>
  <c r="I47"/>
  <c r="I56"/>
  <c r="I64"/>
  <c r="I40"/>
  <c r="I52"/>
  <c r="I63"/>
  <c r="I29"/>
  <c r="I31"/>
  <c r="I41"/>
  <c r="I50"/>
  <c r="I51"/>
  <c r="I55"/>
  <c r="I54"/>
  <c r="I37"/>
  <c r="I42"/>
  <c r="I53"/>
  <c r="I60"/>
  <c r="I71"/>
  <c r="I89"/>
  <c r="I21"/>
  <c r="I58"/>
  <c r="I68"/>
  <c r="I70"/>
  <c r="I77"/>
  <c r="I79"/>
  <c r="I83"/>
  <c r="I59"/>
  <c r="I73"/>
  <c r="I62"/>
  <c r="I69"/>
  <c r="I72"/>
  <c r="I76"/>
  <c r="I66"/>
  <c r="I74"/>
  <c r="I75"/>
  <c r="I82"/>
  <c r="I92"/>
  <c r="I94"/>
  <c r="I61"/>
  <c r="I81"/>
  <c r="I85"/>
  <c r="I86"/>
  <c r="I90"/>
  <c r="I91"/>
  <c r="I88"/>
  <c r="I87"/>
  <c r="I93"/>
  <c r="I15"/>
  <c r="I67"/>
  <c r="I80"/>
  <c r="I84"/>
  <c r="I95"/>
  <c r="M100"/>
  <c r="J4"/>
  <c r="J55" s="1"/>
  <c r="M98"/>
  <c r="M99"/>
  <c r="J16" l="1"/>
  <c r="J21"/>
  <c r="J24"/>
  <c r="J27"/>
  <c r="J32"/>
  <c r="J17"/>
  <c r="J23"/>
  <c r="J26"/>
  <c r="J20"/>
  <c r="J25"/>
  <c r="J19"/>
  <c r="J29"/>
  <c r="J28"/>
  <c r="J40"/>
  <c r="J50"/>
  <c r="J39"/>
  <c r="J49"/>
  <c r="J18"/>
  <c r="J45"/>
  <c r="J30"/>
  <c r="J33"/>
  <c r="J36"/>
  <c r="J22"/>
  <c r="J35"/>
  <c r="J42"/>
  <c r="J44"/>
  <c r="J58"/>
  <c r="J66"/>
  <c r="J43"/>
  <c r="J57"/>
  <c r="J65"/>
  <c r="J34"/>
  <c r="J46"/>
  <c r="J47"/>
  <c r="J48"/>
  <c r="J56"/>
  <c r="J64"/>
  <c r="J52"/>
  <c r="J31"/>
  <c r="J41"/>
  <c r="J51"/>
  <c r="J54"/>
  <c r="J61"/>
  <c r="J37"/>
  <c r="J53"/>
  <c r="J67"/>
  <c r="J81"/>
  <c r="J84"/>
  <c r="J15"/>
  <c r="J71"/>
  <c r="J89"/>
  <c r="J68"/>
  <c r="J70"/>
  <c r="J77"/>
  <c r="J79"/>
  <c r="J83"/>
  <c r="J59"/>
  <c r="J73"/>
  <c r="J75"/>
  <c r="J80"/>
  <c r="J82"/>
  <c r="J60"/>
  <c r="J74"/>
  <c r="J62"/>
  <c r="J69"/>
  <c r="J72"/>
  <c r="J38"/>
  <c r="J76"/>
  <c r="J92"/>
  <c r="J94"/>
  <c r="J88"/>
  <c r="J86"/>
  <c r="J90"/>
  <c r="J91"/>
  <c r="J63"/>
  <c r="J85"/>
  <c r="J95"/>
  <c r="J87"/>
  <c r="J93"/>
  <c r="K4"/>
  <c r="K91" s="1"/>
  <c r="N1"/>
  <c r="K16" l="1"/>
  <c r="K22"/>
  <c r="K30"/>
  <c r="K33"/>
  <c r="K21"/>
  <c r="K24"/>
  <c r="K27"/>
  <c r="K32"/>
  <c r="K17"/>
  <c r="K23"/>
  <c r="K26"/>
  <c r="K20"/>
  <c r="K25"/>
  <c r="K18"/>
  <c r="K31"/>
  <c r="K34"/>
  <c r="K37"/>
  <c r="K41"/>
  <c r="K19"/>
  <c r="K28"/>
  <c r="K40"/>
  <c r="K50"/>
  <c r="K39"/>
  <c r="K49"/>
  <c r="K36"/>
  <c r="K43"/>
  <c r="K38"/>
  <c r="K59"/>
  <c r="K67"/>
  <c r="K44"/>
  <c r="K58"/>
  <c r="K57"/>
  <c r="K65"/>
  <c r="K35"/>
  <c r="K46"/>
  <c r="K47"/>
  <c r="K48"/>
  <c r="K56"/>
  <c r="K29"/>
  <c r="K45"/>
  <c r="K52"/>
  <c r="K51"/>
  <c r="K55"/>
  <c r="K62"/>
  <c r="K42"/>
  <c r="K54"/>
  <c r="K63"/>
  <c r="K85"/>
  <c r="K88"/>
  <c r="K81"/>
  <c r="K84"/>
  <c r="K71"/>
  <c r="K64"/>
  <c r="K68"/>
  <c r="K70"/>
  <c r="K77"/>
  <c r="K79"/>
  <c r="K83"/>
  <c r="K61"/>
  <c r="K69"/>
  <c r="K72"/>
  <c r="K76"/>
  <c r="K66"/>
  <c r="K75"/>
  <c r="K95"/>
  <c r="K90"/>
  <c r="K93"/>
  <c r="K60"/>
  <c r="K15"/>
  <c r="K82"/>
  <c r="K53"/>
  <c r="K86"/>
  <c r="K92"/>
  <c r="K94"/>
  <c r="K74"/>
  <c r="K80"/>
  <c r="K87"/>
  <c r="K73"/>
  <c r="L4"/>
  <c r="L16" l="1"/>
  <c r="L28"/>
  <c r="L31"/>
  <c r="L22"/>
  <c r="L30"/>
  <c r="L33"/>
  <c r="L21"/>
  <c r="L24"/>
  <c r="L27"/>
  <c r="L32"/>
  <c r="L17"/>
  <c r="L23"/>
  <c r="L26"/>
  <c r="L19"/>
  <c r="L20"/>
  <c r="L29"/>
  <c r="L38"/>
  <c r="L34"/>
  <c r="L37"/>
  <c r="L41"/>
  <c r="L40"/>
  <c r="L50"/>
  <c r="L18"/>
  <c r="L39"/>
  <c r="L25"/>
  <c r="L44"/>
  <c r="L53"/>
  <c r="L60"/>
  <c r="L68"/>
  <c r="L59"/>
  <c r="L43"/>
  <c r="L58"/>
  <c r="L49"/>
  <c r="L57"/>
  <c r="L35"/>
  <c r="L46"/>
  <c r="L47"/>
  <c r="L48"/>
  <c r="L56"/>
  <c r="L36"/>
  <c r="L45"/>
  <c r="L52"/>
  <c r="L63"/>
  <c r="L51"/>
  <c r="L55"/>
  <c r="L74"/>
  <c r="L86"/>
  <c r="L90"/>
  <c r="L42"/>
  <c r="L54"/>
  <c r="L65"/>
  <c r="L67"/>
  <c r="L85"/>
  <c r="L88"/>
  <c r="L81"/>
  <c r="L84"/>
  <c r="L71"/>
  <c r="L62"/>
  <c r="L73"/>
  <c r="L61"/>
  <c r="L69"/>
  <c r="L72"/>
  <c r="L76"/>
  <c r="L80"/>
  <c r="L83"/>
  <c r="L87"/>
  <c r="L93"/>
  <c r="L75"/>
  <c r="L95"/>
  <c r="L77"/>
  <c r="L92"/>
  <c r="L64"/>
  <c r="L70"/>
  <c r="L79"/>
  <c r="L15"/>
  <c r="L82"/>
  <c r="L94"/>
  <c r="L66"/>
  <c r="L89"/>
  <c r="M4"/>
  <c r="M94" s="1"/>
  <c r="M16" l="1"/>
  <c r="M29"/>
  <c r="M28"/>
  <c r="M31"/>
  <c r="M22"/>
  <c r="M30"/>
  <c r="M33"/>
  <c r="M21"/>
  <c r="M24"/>
  <c r="M27"/>
  <c r="M32"/>
  <c r="M20"/>
  <c r="M25"/>
  <c r="M35"/>
  <c r="M42"/>
  <c r="M46"/>
  <c r="M38"/>
  <c r="M19"/>
  <c r="M23"/>
  <c r="M34"/>
  <c r="M37"/>
  <c r="M41"/>
  <c r="M40"/>
  <c r="M18"/>
  <c r="M26"/>
  <c r="M39"/>
  <c r="M54"/>
  <c r="M61"/>
  <c r="M69"/>
  <c r="M17"/>
  <c r="M53"/>
  <c r="M60"/>
  <c r="M44"/>
  <c r="M59"/>
  <c r="M43"/>
  <c r="M58"/>
  <c r="M49"/>
  <c r="M50"/>
  <c r="M57"/>
  <c r="M47"/>
  <c r="M48"/>
  <c r="M56"/>
  <c r="M64"/>
  <c r="M36"/>
  <c r="M45"/>
  <c r="M52"/>
  <c r="M66"/>
  <c r="M75"/>
  <c r="M80"/>
  <c r="M82"/>
  <c r="M87"/>
  <c r="M63"/>
  <c r="M74"/>
  <c r="M86"/>
  <c r="M65"/>
  <c r="M67"/>
  <c r="M85"/>
  <c r="M88"/>
  <c r="M51"/>
  <c r="M81"/>
  <c r="M84"/>
  <c r="M70"/>
  <c r="M77"/>
  <c r="M79"/>
  <c r="M83"/>
  <c r="M55"/>
  <c r="M62"/>
  <c r="M73"/>
  <c r="M68"/>
  <c r="M93"/>
  <c r="M71"/>
  <c r="M95"/>
  <c r="M76"/>
  <c r="M15"/>
  <c r="M72"/>
  <c r="M90"/>
  <c r="M92"/>
  <c r="M89"/>
  <c r="N4"/>
  <c r="N16" l="1"/>
  <c r="N87"/>
  <c r="N18"/>
  <c r="N29"/>
  <c r="N28"/>
  <c r="N31"/>
  <c r="N22"/>
  <c r="N30"/>
  <c r="N33"/>
  <c r="N17"/>
  <c r="N23"/>
  <c r="N26"/>
  <c r="N36"/>
  <c r="N43"/>
  <c r="N47"/>
  <c r="N20"/>
  <c r="N24"/>
  <c r="N32"/>
  <c r="N35"/>
  <c r="N42"/>
  <c r="N46"/>
  <c r="N38"/>
  <c r="N19"/>
  <c r="N27"/>
  <c r="N34"/>
  <c r="N37"/>
  <c r="N41"/>
  <c r="N40"/>
  <c r="N39"/>
  <c r="N21"/>
  <c r="N51"/>
  <c r="N55"/>
  <c r="N62"/>
  <c r="N54"/>
  <c r="N61"/>
  <c r="N53"/>
  <c r="N60"/>
  <c r="N44"/>
  <c r="N59"/>
  <c r="N58"/>
  <c r="N25"/>
  <c r="N49"/>
  <c r="N50"/>
  <c r="N57"/>
  <c r="N48"/>
  <c r="N56"/>
  <c r="N45"/>
  <c r="N52"/>
  <c r="N72"/>
  <c r="N76"/>
  <c r="N92"/>
  <c r="N93"/>
  <c r="N66"/>
  <c r="N75"/>
  <c r="N80"/>
  <c r="N82"/>
  <c r="N63"/>
  <c r="N74"/>
  <c r="N86"/>
  <c r="N65"/>
  <c r="N67"/>
  <c r="N85"/>
  <c r="N88"/>
  <c r="N64"/>
  <c r="N68"/>
  <c r="N71"/>
  <c r="N70"/>
  <c r="N77"/>
  <c r="N89"/>
  <c r="N69"/>
  <c r="N83"/>
  <c r="N15"/>
  <c r="N79"/>
  <c r="N95"/>
  <c r="N81"/>
  <c r="N73"/>
  <c r="N84"/>
  <c r="N90"/>
  <c r="O4"/>
  <c r="O16" l="1"/>
  <c r="O19"/>
  <c r="O18"/>
  <c r="O29"/>
  <c r="O28"/>
  <c r="O31"/>
  <c r="O21"/>
  <c r="O24"/>
  <c r="O27"/>
  <c r="O44"/>
  <c r="O48"/>
  <c r="O36"/>
  <c r="O43"/>
  <c r="O47"/>
  <c r="O20"/>
  <c r="O32"/>
  <c r="O35"/>
  <c r="O42"/>
  <c r="O46"/>
  <c r="O23"/>
  <c r="O38"/>
  <c r="O34"/>
  <c r="O37"/>
  <c r="O41"/>
  <c r="O26"/>
  <c r="O30"/>
  <c r="O33"/>
  <c r="O40"/>
  <c r="O45"/>
  <c r="O52"/>
  <c r="O63"/>
  <c r="O39"/>
  <c r="O51"/>
  <c r="O55"/>
  <c r="O62"/>
  <c r="O17"/>
  <c r="O54"/>
  <c r="O61"/>
  <c r="O22"/>
  <c r="O53"/>
  <c r="O60"/>
  <c r="O59"/>
  <c r="O58"/>
  <c r="O25"/>
  <c r="O49"/>
  <c r="O50"/>
  <c r="O57"/>
  <c r="O69"/>
  <c r="O73"/>
  <c r="O72"/>
  <c r="O76"/>
  <c r="O87"/>
  <c r="O66"/>
  <c r="O75"/>
  <c r="O80"/>
  <c r="O82"/>
  <c r="O56"/>
  <c r="O74"/>
  <c r="O86"/>
  <c r="O81"/>
  <c r="O84"/>
  <c r="O64"/>
  <c r="O68"/>
  <c r="O71"/>
  <c r="O65"/>
  <c r="O67"/>
  <c r="O89"/>
  <c r="O83"/>
  <c r="O93"/>
  <c r="O79"/>
  <c r="O95"/>
  <c r="O70"/>
  <c r="O77"/>
  <c r="O88"/>
  <c r="O15"/>
  <c r="O85"/>
  <c r="O92"/>
  <c r="O90"/>
  <c r="P4"/>
  <c r="P16" l="1"/>
  <c r="P29"/>
  <c r="P20"/>
  <c r="P25"/>
  <c r="P19"/>
  <c r="P18"/>
  <c r="P22"/>
  <c r="P17"/>
  <c r="P21"/>
  <c r="P45"/>
  <c r="P31"/>
  <c r="P44"/>
  <c r="P48"/>
  <c r="P24"/>
  <c r="P28"/>
  <c r="P36"/>
  <c r="P43"/>
  <c r="P47"/>
  <c r="P32"/>
  <c r="P35"/>
  <c r="P23"/>
  <c r="P27"/>
  <c r="P38"/>
  <c r="P34"/>
  <c r="P37"/>
  <c r="P41"/>
  <c r="P42"/>
  <c r="P56"/>
  <c r="P64"/>
  <c r="P26"/>
  <c r="P52"/>
  <c r="P63"/>
  <c r="P39"/>
  <c r="P51"/>
  <c r="P55"/>
  <c r="P62"/>
  <c r="P40"/>
  <c r="P54"/>
  <c r="P61"/>
  <c r="P53"/>
  <c r="P33"/>
  <c r="P46"/>
  <c r="P59"/>
  <c r="P60"/>
  <c r="P70"/>
  <c r="P77"/>
  <c r="P79"/>
  <c r="P83"/>
  <c r="P95"/>
  <c r="P57"/>
  <c r="P69"/>
  <c r="P73"/>
  <c r="P58"/>
  <c r="P72"/>
  <c r="P76"/>
  <c r="P87"/>
  <c r="P66"/>
  <c r="P75"/>
  <c r="P80"/>
  <c r="P82"/>
  <c r="P30"/>
  <c r="P65"/>
  <c r="P67"/>
  <c r="P85"/>
  <c r="P49"/>
  <c r="P74"/>
  <c r="P84"/>
  <c r="P90"/>
  <c r="P50"/>
  <c r="P68"/>
  <c r="P89"/>
  <c r="P93"/>
  <c r="P71"/>
  <c r="P86"/>
  <c r="P81"/>
  <c r="P88"/>
  <c r="P15"/>
  <c r="P92"/>
  <c r="Q4"/>
  <c r="Q16" l="1"/>
  <c r="Q17"/>
  <c r="Q23"/>
  <c r="Q26"/>
  <c r="Q20"/>
  <c r="Q25"/>
  <c r="Q19"/>
  <c r="Q18"/>
  <c r="Q28"/>
  <c r="Q39"/>
  <c r="Q49"/>
  <c r="Q21"/>
  <c r="Q29"/>
  <c r="Q45"/>
  <c r="Q31"/>
  <c r="Q44"/>
  <c r="Q48"/>
  <c r="Q24"/>
  <c r="Q36"/>
  <c r="Q32"/>
  <c r="Q35"/>
  <c r="Q27"/>
  <c r="Q38"/>
  <c r="Q30"/>
  <c r="Q50"/>
  <c r="Q57"/>
  <c r="Q65"/>
  <c r="Q42"/>
  <c r="Q56"/>
  <c r="Q64"/>
  <c r="Q52"/>
  <c r="Q63"/>
  <c r="Q34"/>
  <c r="Q51"/>
  <c r="Q55"/>
  <c r="Q22"/>
  <c r="Q40"/>
  <c r="Q43"/>
  <c r="Q54"/>
  <c r="Q41"/>
  <c r="Q53"/>
  <c r="Q60"/>
  <c r="Q33"/>
  <c r="Q46"/>
  <c r="Q47"/>
  <c r="Q68"/>
  <c r="Q71"/>
  <c r="Q89"/>
  <c r="Q70"/>
  <c r="Q77"/>
  <c r="Q79"/>
  <c r="Q83"/>
  <c r="Q69"/>
  <c r="Q73"/>
  <c r="Q37"/>
  <c r="Q58"/>
  <c r="Q72"/>
  <c r="Q76"/>
  <c r="Q87"/>
  <c r="Q74"/>
  <c r="Q67"/>
  <c r="Q66"/>
  <c r="Q92"/>
  <c r="Q15"/>
  <c r="Q62"/>
  <c r="Q80"/>
  <c r="Q84"/>
  <c r="Q90"/>
  <c r="Q82"/>
  <c r="Q93"/>
  <c r="Q75"/>
  <c r="Q61"/>
  <c r="Q95"/>
  <c r="Q81"/>
  <c r="Q85"/>
  <c r="Q88"/>
  <c r="Q59"/>
  <c r="Q86"/>
  <c r="R4"/>
  <c r="R16" l="1"/>
  <c r="R21"/>
  <c r="R24"/>
  <c r="R27"/>
  <c r="R32"/>
  <c r="R17"/>
  <c r="R23"/>
  <c r="R26"/>
  <c r="R20"/>
  <c r="R25"/>
  <c r="R19"/>
  <c r="R29"/>
  <c r="R22"/>
  <c r="R30"/>
  <c r="R33"/>
  <c r="R40"/>
  <c r="R39"/>
  <c r="R49"/>
  <c r="R45"/>
  <c r="R28"/>
  <c r="R31"/>
  <c r="R36"/>
  <c r="R18"/>
  <c r="R35"/>
  <c r="R42"/>
  <c r="R37"/>
  <c r="R58"/>
  <c r="R66"/>
  <c r="R38"/>
  <c r="R50"/>
  <c r="R57"/>
  <c r="R65"/>
  <c r="R56"/>
  <c r="R64"/>
  <c r="R52"/>
  <c r="R34"/>
  <c r="R44"/>
  <c r="R51"/>
  <c r="R55"/>
  <c r="R43"/>
  <c r="R54"/>
  <c r="R61"/>
  <c r="R41"/>
  <c r="R53"/>
  <c r="R62"/>
  <c r="R81"/>
  <c r="R84"/>
  <c r="R15"/>
  <c r="R48"/>
  <c r="R60"/>
  <c r="R68"/>
  <c r="R71"/>
  <c r="R89"/>
  <c r="R70"/>
  <c r="R77"/>
  <c r="R79"/>
  <c r="R83"/>
  <c r="R46"/>
  <c r="R63"/>
  <c r="R69"/>
  <c r="R73"/>
  <c r="R59"/>
  <c r="R75"/>
  <c r="R80"/>
  <c r="R82"/>
  <c r="R47"/>
  <c r="R74"/>
  <c r="R85"/>
  <c r="R88"/>
  <c r="R67"/>
  <c r="R87"/>
  <c r="R92"/>
  <c r="R90"/>
  <c r="R76"/>
  <c r="R93"/>
  <c r="R72"/>
  <c r="R95"/>
  <c r="R86"/>
  <c r="S4"/>
  <c r="S16" l="1"/>
  <c r="S22"/>
  <c r="S30"/>
  <c r="S33"/>
  <c r="S21"/>
  <c r="S24"/>
  <c r="S27"/>
  <c r="S32"/>
  <c r="S17"/>
  <c r="S23"/>
  <c r="S26"/>
  <c r="S20"/>
  <c r="S25"/>
  <c r="S18"/>
  <c r="S34"/>
  <c r="S37"/>
  <c r="S41"/>
  <c r="S40"/>
  <c r="S29"/>
  <c r="S39"/>
  <c r="S49"/>
  <c r="S19"/>
  <c r="S28"/>
  <c r="S31"/>
  <c r="S36"/>
  <c r="S43"/>
  <c r="S46"/>
  <c r="S47"/>
  <c r="S48"/>
  <c r="S59"/>
  <c r="S67"/>
  <c r="S45"/>
  <c r="S58"/>
  <c r="S38"/>
  <c r="S42"/>
  <c r="S50"/>
  <c r="S57"/>
  <c r="S65"/>
  <c r="S56"/>
  <c r="S52"/>
  <c r="S35"/>
  <c r="S44"/>
  <c r="S51"/>
  <c r="S55"/>
  <c r="S62"/>
  <c r="S54"/>
  <c r="S61"/>
  <c r="S85"/>
  <c r="S88"/>
  <c r="S81"/>
  <c r="S84"/>
  <c r="S60"/>
  <c r="S68"/>
  <c r="S71"/>
  <c r="S70"/>
  <c r="S77"/>
  <c r="S79"/>
  <c r="S83"/>
  <c r="S53"/>
  <c r="S66"/>
  <c r="S72"/>
  <c r="S76"/>
  <c r="S75"/>
  <c r="S73"/>
  <c r="S86"/>
  <c r="S15"/>
  <c r="S74"/>
  <c r="S69"/>
  <c r="S80"/>
  <c r="S87"/>
  <c r="S92"/>
  <c r="S64"/>
  <c r="S89"/>
  <c r="S90"/>
  <c r="S82"/>
  <c r="S63"/>
  <c r="S93"/>
  <c r="S95"/>
  <c r="T4"/>
  <c r="T16" l="1"/>
  <c r="T28"/>
  <c r="T31"/>
  <c r="T22"/>
  <c r="T30"/>
  <c r="T33"/>
  <c r="T21"/>
  <c r="T24"/>
  <c r="T27"/>
  <c r="T32"/>
  <c r="T17"/>
  <c r="T23"/>
  <c r="T26"/>
  <c r="T19"/>
  <c r="T25"/>
  <c r="T38"/>
  <c r="T34"/>
  <c r="T37"/>
  <c r="T41"/>
  <c r="T40"/>
  <c r="T20"/>
  <c r="T29"/>
  <c r="T39"/>
  <c r="T44"/>
  <c r="T49"/>
  <c r="T53"/>
  <c r="T60"/>
  <c r="T68"/>
  <c r="T46"/>
  <c r="T47"/>
  <c r="T48"/>
  <c r="T59"/>
  <c r="T45"/>
  <c r="T58"/>
  <c r="T42"/>
  <c r="T50"/>
  <c r="T57"/>
  <c r="T56"/>
  <c r="T18"/>
  <c r="T52"/>
  <c r="T63"/>
  <c r="T35"/>
  <c r="T43"/>
  <c r="T51"/>
  <c r="T55"/>
  <c r="T64"/>
  <c r="T67"/>
  <c r="T74"/>
  <c r="T86"/>
  <c r="T90"/>
  <c r="T61"/>
  <c r="T62"/>
  <c r="T85"/>
  <c r="T88"/>
  <c r="T36"/>
  <c r="T54"/>
  <c r="T81"/>
  <c r="T84"/>
  <c r="T71"/>
  <c r="T69"/>
  <c r="T73"/>
  <c r="T65"/>
  <c r="T66"/>
  <c r="T72"/>
  <c r="T76"/>
  <c r="T95"/>
  <c r="T15"/>
  <c r="T89"/>
  <c r="T70"/>
  <c r="T75"/>
  <c r="T80"/>
  <c r="T83"/>
  <c r="T87"/>
  <c r="T92"/>
  <c r="T93"/>
  <c r="T79"/>
  <c r="T77"/>
  <c r="T82"/>
  <c r="U4"/>
  <c r="U43" s="1"/>
  <c r="U25" l="1"/>
  <c r="U33"/>
  <c r="U41"/>
  <c r="U49"/>
  <c r="U57"/>
  <c r="U65"/>
  <c r="U73"/>
  <c r="U16"/>
  <c r="U24"/>
  <c r="U32"/>
  <c r="U40"/>
  <c r="U48"/>
  <c r="U56"/>
  <c r="U64"/>
  <c r="U72"/>
  <c r="U23"/>
  <c r="U31"/>
  <c r="U39"/>
  <c r="U47"/>
  <c r="U55"/>
  <c r="U63"/>
  <c r="U71"/>
  <c r="U22"/>
  <c r="U30"/>
  <c r="U38"/>
  <c r="U46"/>
  <c r="U54"/>
  <c r="U62"/>
  <c r="U70"/>
  <c r="U21"/>
  <c r="U29"/>
  <c r="U37"/>
  <c r="U45"/>
  <c r="U53"/>
  <c r="U61"/>
  <c r="U69"/>
  <c r="U77"/>
  <c r="U20"/>
  <c r="U28"/>
  <c r="U36"/>
  <c r="U44"/>
  <c r="U52"/>
  <c r="U60"/>
  <c r="U68"/>
  <c r="U76"/>
  <c r="U27"/>
  <c r="U35"/>
  <c r="U51"/>
  <c r="U59"/>
  <c r="U67"/>
  <c r="U75"/>
  <c r="U26"/>
  <c r="U34"/>
  <c r="U42"/>
  <c r="U50"/>
  <c r="U58"/>
  <c r="U66"/>
  <c r="U74"/>
  <c r="U17"/>
  <c r="U19"/>
  <c r="U18"/>
  <c r="U80"/>
  <c r="U82"/>
  <c r="U86"/>
  <c r="U85"/>
  <c r="U88"/>
  <c r="U81"/>
  <c r="U84"/>
  <c r="U79"/>
  <c r="U83"/>
  <c r="U93"/>
  <c r="U92"/>
  <c r="U95"/>
  <c r="U87"/>
  <c r="U15"/>
  <c r="U90"/>
  <c r="U89"/>
  <c r="V4"/>
  <c r="V16" l="1"/>
  <c r="V18"/>
  <c r="V29"/>
  <c r="V28"/>
  <c r="V31"/>
  <c r="V22"/>
  <c r="V30"/>
  <c r="V33"/>
  <c r="V17"/>
  <c r="V23"/>
  <c r="V26"/>
  <c r="V36"/>
  <c r="V47"/>
  <c r="V25"/>
  <c r="V35"/>
  <c r="V42"/>
  <c r="V46"/>
  <c r="V21"/>
  <c r="V38"/>
  <c r="V34"/>
  <c r="V37"/>
  <c r="V41"/>
  <c r="V20"/>
  <c r="V24"/>
  <c r="V40"/>
  <c r="V32"/>
  <c r="V39"/>
  <c r="V51"/>
  <c r="V55"/>
  <c r="V62"/>
  <c r="V19"/>
  <c r="V54"/>
  <c r="V61"/>
  <c r="V49"/>
  <c r="V53"/>
  <c r="V60"/>
  <c r="V48"/>
  <c r="V59"/>
  <c r="V45"/>
  <c r="V58"/>
  <c r="V27"/>
  <c r="V50"/>
  <c r="V57"/>
  <c r="V56"/>
  <c r="V65"/>
  <c r="V66"/>
  <c r="V72"/>
  <c r="V76"/>
  <c r="V87"/>
  <c r="V92"/>
  <c r="V93"/>
  <c r="V52"/>
  <c r="V64"/>
  <c r="V75"/>
  <c r="V80"/>
  <c r="V82"/>
  <c r="V67"/>
  <c r="V74"/>
  <c r="V86"/>
  <c r="V85"/>
  <c r="V88"/>
  <c r="V71"/>
  <c r="V44"/>
  <c r="V63"/>
  <c r="V70"/>
  <c r="V77"/>
  <c r="V81"/>
  <c r="V73"/>
  <c r="V83"/>
  <c r="V68"/>
  <c r="V84"/>
  <c r="V95"/>
  <c r="V69"/>
  <c r="V15"/>
  <c r="V90"/>
  <c r="V79"/>
  <c r="V89"/>
  <c r="W4"/>
  <c r="W16" l="1"/>
  <c r="W19"/>
  <c r="W18"/>
  <c r="W29"/>
  <c r="W28"/>
  <c r="W31"/>
  <c r="W21"/>
  <c r="W24"/>
  <c r="W27"/>
  <c r="W26"/>
  <c r="W44"/>
  <c r="W48"/>
  <c r="W22"/>
  <c r="W30"/>
  <c r="W33"/>
  <c r="W36"/>
  <c r="W47"/>
  <c r="W17"/>
  <c r="W25"/>
  <c r="W35"/>
  <c r="W42"/>
  <c r="W46"/>
  <c r="W38"/>
  <c r="W34"/>
  <c r="W37"/>
  <c r="W41"/>
  <c r="W20"/>
  <c r="W40"/>
  <c r="W52"/>
  <c r="W63"/>
  <c r="W32"/>
  <c r="W51"/>
  <c r="W55"/>
  <c r="W62"/>
  <c r="W54"/>
  <c r="W61"/>
  <c r="W39"/>
  <c r="W49"/>
  <c r="W53"/>
  <c r="W60"/>
  <c r="W59"/>
  <c r="W45"/>
  <c r="W58"/>
  <c r="W50"/>
  <c r="W69"/>
  <c r="W73"/>
  <c r="W65"/>
  <c r="W66"/>
  <c r="W72"/>
  <c r="W76"/>
  <c r="W87"/>
  <c r="W23"/>
  <c r="W57"/>
  <c r="W64"/>
  <c r="W75"/>
  <c r="W80"/>
  <c r="W82"/>
  <c r="W67"/>
  <c r="W74"/>
  <c r="W86"/>
  <c r="W68"/>
  <c r="W81"/>
  <c r="W84"/>
  <c r="W71"/>
  <c r="W56"/>
  <c r="W85"/>
  <c r="W88"/>
  <c r="W93"/>
  <c r="W15"/>
  <c r="W95"/>
  <c r="W70"/>
  <c r="W83"/>
  <c r="W92"/>
  <c r="W77"/>
  <c r="W79"/>
  <c r="W89"/>
  <c r="W90"/>
  <c r="X4"/>
  <c r="X16" l="1"/>
  <c r="X20"/>
  <c r="X25"/>
  <c r="X19"/>
  <c r="X18"/>
  <c r="X29"/>
  <c r="X22"/>
  <c r="X45"/>
  <c r="X26"/>
  <c r="X44"/>
  <c r="X48"/>
  <c r="X30"/>
  <c r="X33"/>
  <c r="X36"/>
  <c r="X47"/>
  <c r="X17"/>
  <c r="X21"/>
  <c r="X35"/>
  <c r="X38"/>
  <c r="X24"/>
  <c r="X28"/>
  <c r="X31"/>
  <c r="X34"/>
  <c r="X37"/>
  <c r="X41"/>
  <c r="X23"/>
  <c r="X56"/>
  <c r="X64"/>
  <c r="X52"/>
  <c r="X63"/>
  <c r="X32"/>
  <c r="X46"/>
  <c r="X51"/>
  <c r="X55"/>
  <c r="X62"/>
  <c r="X54"/>
  <c r="X61"/>
  <c r="X39"/>
  <c r="X42"/>
  <c r="X49"/>
  <c r="X53"/>
  <c r="X40"/>
  <c r="X59"/>
  <c r="X27"/>
  <c r="X50"/>
  <c r="X70"/>
  <c r="X77"/>
  <c r="X79"/>
  <c r="X83"/>
  <c r="X95"/>
  <c r="X69"/>
  <c r="X73"/>
  <c r="X65"/>
  <c r="X66"/>
  <c r="X72"/>
  <c r="X76"/>
  <c r="X87"/>
  <c r="X57"/>
  <c r="X60"/>
  <c r="X75"/>
  <c r="X80"/>
  <c r="X82"/>
  <c r="X68"/>
  <c r="X89"/>
  <c r="X81"/>
  <c r="X86"/>
  <c r="X67"/>
  <c r="X74"/>
  <c r="X85"/>
  <c r="X88"/>
  <c r="X93"/>
  <c r="X84"/>
  <c r="X58"/>
  <c r="X15"/>
  <c r="X71"/>
  <c r="X90"/>
  <c r="X92"/>
  <c r="Y4"/>
  <c r="Y85" s="1"/>
  <c r="Y15" l="1"/>
  <c r="Y29"/>
  <c r="Y16"/>
  <c r="Y17"/>
  <c r="Y23"/>
  <c r="Y26"/>
  <c r="Y20"/>
  <c r="Y25"/>
  <c r="Y19"/>
  <c r="Y18"/>
  <c r="Y28"/>
  <c r="Y27"/>
  <c r="Y32"/>
  <c r="Y39"/>
  <c r="Y49"/>
  <c r="Y45"/>
  <c r="Y22"/>
  <c r="Y44"/>
  <c r="Y48"/>
  <c r="Y30"/>
  <c r="Y33"/>
  <c r="Y36"/>
  <c r="Y21"/>
  <c r="Y35"/>
  <c r="Y38"/>
  <c r="Y50"/>
  <c r="Y57"/>
  <c r="Y65"/>
  <c r="Y37"/>
  <c r="Y56"/>
  <c r="Y64"/>
  <c r="Y52"/>
  <c r="Y63"/>
  <c r="Y24"/>
  <c r="Y46"/>
  <c r="Y47"/>
  <c r="Y51"/>
  <c r="Y55"/>
  <c r="Y54"/>
  <c r="Y31"/>
  <c r="Y34"/>
  <c r="Y42"/>
  <c r="Y53"/>
  <c r="Y60"/>
  <c r="Y40"/>
  <c r="Y41"/>
  <c r="Y71"/>
  <c r="Y89"/>
  <c r="Y70"/>
  <c r="Y77"/>
  <c r="Y79"/>
  <c r="Y83"/>
  <c r="Y61"/>
  <c r="Y69"/>
  <c r="Y73"/>
  <c r="Y62"/>
  <c r="Y66"/>
  <c r="Y72"/>
  <c r="Y76"/>
  <c r="Y87"/>
  <c r="Y58"/>
  <c r="Y67"/>
  <c r="Y74"/>
  <c r="Y59"/>
  <c r="Y90"/>
  <c r="Y84"/>
  <c r="Y75"/>
  <c r="Y95"/>
  <c r="Y81"/>
  <c r="Y86"/>
  <c r="Y68"/>
  <c r="Y88"/>
  <c r="Y93"/>
  <c r="Y80"/>
  <c r="Y92"/>
  <c r="Y82"/>
  <c r="Z4"/>
  <c r="Z16" l="1"/>
  <c r="Z21"/>
  <c r="Z24"/>
  <c r="Z27"/>
  <c r="Z32"/>
  <c r="Z17"/>
  <c r="Z23"/>
  <c r="Z26"/>
  <c r="Z20"/>
  <c r="Z25"/>
  <c r="Z19"/>
  <c r="Z18"/>
  <c r="Z40"/>
  <c r="Z39"/>
  <c r="Z49"/>
  <c r="Z45"/>
  <c r="Z22"/>
  <c r="Z30"/>
  <c r="Z33"/>
  <c r="Z36"/>
  <c r="Z35"/>
  <c r="Z42"/>
  <c r="Z41"/>
  <c r="Z44"/>
  <c r="Z58"/>
  <c r="Z66"/>
  <c r="Z28"/>
  <c r="Z50"/>
  <c r="Z57"/>
  <c r="Z65"/>
  <c r="Z37"/>
  <c r="Z56"/>
  <c r="Z64"/>
  <c r="Z38"/>
  <c r="Z52"/>
  <c r="Z46"/>
  <c r="Z47"/>
  <c r="Z48"/>
  <c r="Z51"/>
  <c r="Z55"/>
  <c r="Z54"/>
  <c r="Z61"/>
  <c r="Z31"/>
  <c r="Z34"/>
  <c r="Z53"/>
  <c r="Z68"/>
  <c r="Z81"/>
  <c r="Z84"/>
  <c r="Z71"/>
  <c r="Z89"/>
  <c r="Z70"/>
  <c r="Z77"/>
  <c r="Z79"/>
  <c r="Z83"/>
  <c r="Z69"/>
  <c r="Z73"/>
  <c r="Z75"/>
  <c r="Z80"/>
  <c r="Z82"/>
  <c r="Z67"/>
  <c r="Z74"/>
  <c r="Z72"/>
  <c r="Z92"/>
  <c r="Z88"/>
  <c r="Z90"/>
  <c r="Z60"/>
  <c r="Z62"/>
  <c r="Z86"/>
  <c r="Z93"/>
  <c r="Z87"/>
  <c r="Z95"/>
  <c r="Z59"/>
  <c r="Z63"/>
  <c r="Z76"/>
  <c r="AA4"/>
  <c r="AA45" s="1"/>
  <c r="AA16" l="1"/>
  <c r="AA30"/>
  <c r="AA33"/>
  <c r="AA21"/>
  <c r="AA24"/>
  <c r="AA27"/>
  <c r="AA32"/>
  <c r="AA17"/>
  <c r="AA23"/>
  <c r="AA26"/>
  <c r="AA20"/>
  <c r="AA25"/>
  <c r="AA18"/>
  <c r="AA31"/>
  <c r="AA34"/>
  <c r="AA37"/>
  <c r="AA41"/>
  <c r="AA40"/>
  <c r="AA39"/>
  <c r="AA49"/>
  <c r="AA36"/>
  <c r="AA59"/>
  <c r="AA67"/>
  <c r="AA44"/>
  <c r="AA58"/>
  <c r="AA19"/>
  <c r="AA28"/>
  <c r="AA50"/>
  <c r="AA57"/>
  <c r="AA65"/>
  <c r="AA56"/>
  <c r="AA38"/>
  <c r="AA52"/>
  <c r="AA46"/>
  <c r="AA47"/>
  <c r="AA48"/>
  <c r="AA51"/>
  <c r="AA55"/>
  <c r="AA62"/>
  <c r="AA42"/>
  <c r="AA54"/>
  <c r="AA63"/>
  <c r="AA88"/>
  <c r="AA35"/>
  <c r="AA68"/>
  <c r="AA81"/>
  <c r="AA84"/>
  <c r="AA71"/>
  <c r="AA61"/>
  <c r="AA64"/>
  <c r="AA70"/>
  <c r="AA77"/>
  <c r="AA79"/>
  <c r="AA83"/>
  <c r="AA60"/>
  <c r="AA72"/>
  <c r="AA76"/>
  <c r="AA53"/>
  <c r="AA75"/>
  <c r="AA82"/>
  <c r="AA89"/>
  <c r="AA69"/>
  <c r="AA86"/>
  <c r="AA66"/>
  <c r="AA73"/>
  <c r="AA90"/>
  <c r="AA74"/>
  <c r="AA80"/>
  <c r="AA93"/>
  <c r="AA87"/>
  <c r="AA95"/>
  <c r="AB4"/>
  <c r="AB36" l="1"/>
  <c r="AB71"/>
  <c r="AB20"/>
  <c r="AB16"/>
  <c r="AB28"/>
  <c r="AB31"/>
  <c r="AB30"/>
  <c r="AB33"/>
  <c r="AB21"/>
  <c r="AB24"/>
  <c r="AB27"/>
  <c r="AB32"/>
  <c r="AB17"/>
  <c r="AB23"/>
  <c r="AB26"/>
  <c r="AB19"/>
  <c r="AB38"/>
  <c r="AB18"/>
  <c r="AB34"/>
  <c r="AB37"/>
  <c r="AB41"/>
  <c r="AB40"/>
  <c r="AB25"/>
  <c r="AB39"/>
  <c r="AB44"/>
  <c r="AB35"/>
  <c r="AB53"/>
  <c r="AB60"/>
  <c r="AB68"/>
  <c r="AB59"/>
  <c r="AB58"/>
  <c r="AB50"/>
  <c r="AB57"/>
  <c r="AB56"/>
  <c r="AB49"/>
  <c r="AB52"/>
  <c r="AB63"/>
  <c r="AB46"/>
  <c r="AB47"/>
  <c r="AB48"/>
  <c r="AB51"/>
  <c r="AB55"/>
  <c r="AB74"/>
  <c r="AB86"/>
  <c r="AB90"/>
  <c r="AB88"/>
  <c r="AB42"/>
  <c r="AB81"/>
  <c r="AB84"/>
  <c r="AB54"/>
  <c r="AB65"/>
  <c r="AB62"/>
  <c r="AB66"/>
  <c r="AB69"/>
  <c r="AB73"/>
  <c r="AB72"/>
  <c r="AB76"/>
  <c r="AB77"/>
  <c r="AB79"/>
  <c r="AB82"/>
  <c r="AB89"/>
  <c r="AB64"/>
  <c r="AB67"/>
  <c r="AB75"/>
  <c r="AB87"/>
  <c r="AB95"/>
  <c r="AB61"/>
  <c r="AB70"/>
  <c r="AB80"/>
  <c r="AB83"/>
  <c r="AB93"/>
  <c r="AC4"/>
  <c r="AC79" s="1"/>
  <c r="AC23" l="1"/>
  <c r="AC16"/>
  <c r="G92"/>
  <c r="AC28"/>
  <c r="AC31"/>
  <c r="AC30"/>
  <c r="AC33"/>
  <c r="AC21"/>
  <c r="AC24"/>
  <c r="AC27"/>
  <c r="AC32"/>
  <c r="AC20"/>
  <c r="AC25"/>
  <c r="AC19"/>
  <c r="AC35"/>
  <c r="AC42"/>
  <c r="AC46"/>
  <c r="AC38"/>
  <c r="AC18"/>
  <c r="AC26"/>
  <c r="AC34"/>
  <c r="AC37"/>
  <c r="AC41"/>
  <c r="AC40"/>
  <c r="AC17"/>
  <c r="AC39"/>
  <c r="AC54"/>
  <c r="AC61"/>
  <c r="AC53"/>
  <c r="AC60"/>
  <c r="AC44"/>
  <c r="AC59"/>
  <c r="AC58"/>
  <c r="AC50"/>
  <c r="AC57"/>
  <c r="AC56"/>
  <c r="AC64"/>
  <c r="AC49"/>
  <c r="AC52"/>
  <c r="AC55"/>
  <c r="AC67"/>
  <c r="AC75"/>
  <c r="AC80"/>
  <c r="AC82"/>
  <c r="AC63"/>
  <c r="AC74"/>
  <c r="AC86"/>
  <c r="AC48"/>
  <c r="AC68"/>
  <c r="AC88"/>
  <c r="AC81"/>
  <c r="AC84"/>
  <c r="AC51"/>
  <c r="AC70"/>
  <c r="AC77"/>
  <c r="AC83"/>
  <c r="AC62"/>
  <c r="AC66"/>
  <c r="AC69"/>
  <c r="AC73"/>
  <c r="AC87"/>
  <c r="AC95"/>
  <c r="AC72"/>
  <c r="AC65"/>
  <c r="AC89"/>
  <c r="AC90"/>
  <c r="AC47"/>
  <c r="AC76"/>
  <c r="G70"/>
  <c r="G28"/>
  <c r="G93"/>
  <c r="G84"/>
  <c r="G49"/>
  <c r="G42"/>
  <c r="G14"/>
  <c r="G63"/>
  <c r="G91"/>
  <c r="G94"/>
  <c r="AD4"/>
  <c r="G21"/>
  <c r="G35"/>
  <c r="G56"/>
  <c r="G77"/>
  <c r="AD23" l="1"/>
  <c r="AD37"/>
  <c r="AD48"/>
  <c r="AD30"/>
  <c r="AD18"/>
  <c r="AD28"/>
  <c r="AD31"/>
  <c r="AD33"/>
  <c r="AD17"/>
  <c r="AD26"/>
  <c r="AD47"/>
  <c r="AD19"/>
  <c r="AD27"/>
  <c r="AD32"/>
  <c r="AD35"/>
  <c r="AD42"/>
  <c r="AD46"/>
  <c r="AD38"/>
  <c r="AD34"/>
  <c r="AD41"/>
  <c r="AD25"/>
  <c r="AD40"/>
  <c r="AD21"/>
  <c r="AD39"/>
  <c r="AD51"/>
  <c r="AD55"/>
  <c r="AD62"/>
  <c r="AD54"/>
  <c r="AD61"/>
  <c r="AD53"/>
  <c r="AD60"/>
  <c r="AD44"/>
  <c r="AD59"/>
  <c r="AD24"/>
  <c r="AD58"/>
  <c r="AD57"/>
  <c r="AD20"/>
  <c r="AD56"/>
  <c r="AD72"/>
  <c r="AD76"/>
  <c r="AD87"/>
  <c r="AD67"/>
  <c r="AD75"/>
  <c r="AD80"/>
  <c r="AD82"/>
  <c r="AD52"/>
  <c r="AD63"/>
  <c r="AD74"/>
  <c r="AD86"/>
  <c r="AD68"/>
  <c r="AD88"/>
  <c r="AD49"/>
  <c r="AD64"/>
  <c r="AD65"/>
  <c r="AD70"/>
  <c r="AD77"/>
  <c r="AD95"/>
  <c r="AD90"/>
  <c r="AD89"/>
  <c r="AD66"/>
  <c r="AD73"/>
  <c r="AD81"/>
  <c r="AD69"/>
  <c r="AD84"/>
  <c r="AD83"/>
  <c r="AE4"/>
  <c r="AE19" l="1"/>
  <c r="AE18"/>
  <c r="AE28"/>
  <c r="AE21"/>
  <c r="AE27"/>
  <c r="AE20"/>
  <c r="AE44"/>
  <c r="AE23"/>
  <c r="AE43"/>
  <c r="AE47"/>
  <c r="AE32"/>
  <c r="AE35"/>
  <c r="AE42"/>
  <c r="AE46"/>
  <c r="AE26"/>
  <c r="AE38"/>
  <c r="AE34"/>
  <c r="AE37"/>
  <c r="AE41"/>
  <c r="AE25"/>
  <c r="AE33"/>
  <c r="AE40"/>
  <c r="AE49"/>
  <c r="AE52"/>
  <c r="AE63"/>
  <c r="AE51"/>
  <c r="AE55"/>
  <c r="AE62"/>
  <c r="AE54"/>
  <c r="AE61"/>
  <c r="AE53"/>
  <c r="AE60"/>
  <c r="AE59"/>
  <c r="AE39"/>
  <c r="AE58"/>
  <c r="AE66"/>
  <c r="AE69"/>
  <c r="AE73"/>
  <c r="AE72"/>
  <c r="AE76"/>
  <c r="AE87"/>
  <c r="AE67"/>
  <c r="AE75"/>
  <c r="AE80"/>
  <c r="AE82"/>
  <c r="AE74"/>
  <c r="AE86"/>
  <c r="AE56"/>
  <c r="AE81"/>
  <c r="AE84"/>
  <c r="AE64"/>
  <c r="AE65"/>
  <c r="AE83"/>
  <c r="AE77"/>
  <c r="AE68"/>
  <c r="AE57"/>
  <c r="AE95"/>
  <c r="AE88"/>
  <c r="AE89"/>
  <c r="AE90"/>
  <c r="AE70"/>
  <c r="AF4"/>
  <c r="AF46" l="1"/>
  <c r="AF57"/>
  <c r="AF22"/>
  <c r="AF25"/>
  <c r="AF19"/>
  <c r="AF18"/>
  <c r="AF28"/>
  <c r="AF44"/>
  <c r="AF23"/>
  <c r="AF27"/>
  <c r="AF43"/>
  <c r="AF47"/>
  <c r="AF32"/>
  <c r="AF35"/>
  <c r="AF26"/>
  <c r="AF38"/>
  <c r="AF29"/>
  <c r="AF34"/>
  <c r="AF37"/>
  <c r="AF41"/>
  <c r="AF42"/>
  <c r="AF56"/>
  <c r="AF64"/>
  <c r="AF21"/>
  <c r="AF49"/>
  <c r="AF63"/>
  <c r="AF51"/>
  <c r="AF55"/>
  <c r="AF62"/>
  <c r="AF54"/>
  <c r="AF61"/>
  <c r="AF53"/>
  <c r="AF59"/>
  <c r="AF39"/>
  <c r="AF70"/>
  <c r="AF77"/>
  <c r="AF83"/>
  <c r="AF95"/>
  <c r="AF66"/>
  <c r="AF69"/>
  <c r="AF72"/>
  <c r="AF76"/>
  <c r="AF87"/>
  <c r="AF67"/>
  <c r="AF75"/>
  <c r="AF68"/>
  <c r="AF58"/>
  <c r="AF60"/>
  <c r="AF74"/>
  <c r="AF33"/>
  <c r="AF81"/>
  <c r="AF15"/>
  <c r="AF40"/>
  <c r="AF65"/>
  <c r="AF84"/>
  <c r="AF88"/>
  <c r="AF89"/>
  <c r="AF90"/>
  <c r="AG4"/>
  <c r="AG74" s="1"/>
  <c r="AG23" l="1"/>
  <c r="AG26"/>
  <c r="AG22"/>
  <c r="AG25"/>
  <c r="AG18"/>
  <c r="AG28"/>
  <c r="AG39"/>
  <c r="AG49"/>
  <c r="AG48"/>
  <c r="AG44"/>
  <c r="AG27"/>
  <c r="AG32"/>
  <c r="AG35"/>
  <c r="AG33"/>
  <c r="AG40"/>
  <c r="AG43"/>
  <c r="AG45"/>
  <c r="AG46"/>
  <c r="AG47"/>
  <c r="AG65"/>
  <c r="AG41"/>
  <c r="AG42"/>
  <c r="AG56"/>
  <c r="AG64"/>
  <c r="AG21"/>
  <c r="AG63"/>
  <c r="AG37"/>
  <c r="AG51"/>
  <c r="AG55"/>
  <c r="AG54"/>
  <c r="AG29"/>
  <c r="AG53"/>
  <c r="AG60"/>
  <c r="AG34"/>
  <c r="AG59"/>
  <c r="AG89"/>
  <c r="AG70"/>
  <c r="AG83"/>
  <c r="AG66"/>
  <c r="AG69"/>
  <c r="AG78"/>
  <c r="AG72"/>
  <c r="AG76"/>
  <c r="AG87"/>
  <c r="AG61"/>
  <c r="AG68"/>
  <c r="AG15"/>
  <c r="AG67"/>
  <c r="AG62"/>
  <c r="AG95"/>
  <c r="AG58"/>
  <c r="AG81"/>
  <c r="AG84"/>
  <c r="AG88"/>
  <c r="AG90"/>
  <c r="AG75"/>
  <c r="AH4"/>
  <c r="AH83" s="1"/>
  <c r="AH41" l="1"/>
  <c r="AH68"/>
  <c r="AH58"/>
  <c r="AH59"/>
  <c r="AH21"/>
  <c r="AH29"/>
  <c r="AH32"/>
  <c r="AH23"/>
  <c r="AH26"/>
  <c r="AH22"/>
  <c r="AH25"/>
  <c r="AH33"/>
  <c r="AH36"/>
  <c r="AH40"/>
  <c r="AH28"/>
  <c r="AH39"/>
  <c r="AH49"/>
  <c r="AH48"/>
  <c r="AH35"/>
  <c r="AH42"/>
  <c r="AH66"/>
  <c r="AH43"/>
  <c r="AH45"/>
  <c r="AH46"/>
  <c r="AH47"/>
  <c r="AH56"/>
  <c r="AH37"/>
  <c r="AH44"/>
  <c r="AH51"/>
  <c r="AH55"/>
  <c r="AH50"/>
  <c r="AH54"/>
  <c r="AH61"/>
  <c r="AH53"/>
  <c r="AH62"/>
  <c r="AH65"/>
  <c r="AH81"/>
  <c r="AH84"/>
  <c r="AH70"/>
  <c r="AH63"/>
  <c r="AH69"/>
  <c r="AH78"/>
  <c r="AH82"/>
  <c r="AH67"/>
  <c r="AH71"/>
  <c r="AH75"/>
  <c r="AH74"/>
  <c r="AH76"/>
  <c r="AH88"/>
  <c r="AH90"/>
  <c r="AH95"/>
  <c r="AH87"/>
  <c r="AH92"/>
  <c r="AH15"/>
  <c r="AH72"/>
  <c r="AH60"/>
  <c r="AH89"/>
  <c r="AI4"/>
  <c r="AI53" l="1"/>
  <c r="AI65"/>
  <c r="AI27"/>
  <c r="AI33"/>
  <c r="AI21"/>
  <c r="AI29"/>
  <c r="AI32"/>
  <c r="AI20"/>
  <c r="AI23"/>
  <c r="AI26"/>
  <c r="AI22"/>
  <c r="AI25"/>
  <c r="AI37"/>
  <c r="AI36"/>
  <c r="AI40"/>
  <c r="AI19"/>
  <c r="AI28"/>
  <c r="AI39"/>
  <c r="AI49"/>
  <c r="AI17"/>
  <c r="AI43"/>
  <c r="AI34"/>
  <c r="AI67"/>
  <c r="AI35"/>
  <c r="AI48"/>
  <c r="AI58"/>
  <c r="AI42"/>
  <c r="AI45"/>
  <c r="AI46"/>
  <c r="AI47"/>
  <c r="AI56"/>
  <c r="AI44"/>
  <c r="AI51"/>
  <c r="AI50"/>
  <c r="AI54"/>
  <c r="AI60"/>
  <c r="AI85"/>
  <c r="AI88"/>
  <c r="AI84"/>
  <c r="AI70"/>
  <c r="AI72"/>
  <c r="AI61"/>
  <c r="AI71"/>
  <c r="AI75"/>
  <c r="AI63"/>
  <c r="AI89"/>
  <c r="AI90"/>
  <c r="AI79"/>
  <c r="AI82"/>
  <c r="AI87"/>
  <c r="AI92"/>
  <c r="AI15"/>
  <c r="AI74"/>
  <c r="AI95"/>
  <c r="AI78"/>
  <c r="AI91"/>
  <c r="AJ4"/>
  <c r="AJ16" l="1"/>
  <c r="AJ28"/>
  <c r="AJ27"/>
  <c r="AJ33"/>
  <c r="AJ21"/>
  <c r="AJ29"/>
  <c r="AJ32"/>
  <c r="AJ20"/>
  <c r="AJ23"/>
  <c r="AJ26"/>
  <c r="AJ31"/>
  <c r="AJ19"/>
  <c r="AJ24"/>
  <c r="AJ34"/>
  <c r="AJ45"/>
  <c r="AJ37"/>
  <c r="AJ36"/>
  <c r="AJ40"/>
  <c r="AJ39"/>
  <c r="AJ22"/>
  <c r="AJ44"/>
  <c r="AJ53"/>
  <c r="AJ60"/>
  <c r="AJ68"/>
  <c r="AJ52"/>
  <c r="AJ35"/>
  <c r="AJ43"/>
  <c r="AJ48"/>
  <c r="AJ49"/>
  <c r="AJ58"/>
  <c r="AJ17"/>
  <c r="AJ42"/>
  <c r="AJ46"/>
  <c r="AJ47"/>
  <c r="AJ56"/>
  <c r="AJ55"/>
  <c r="AJ63"/>
  <c r="AJ51"/>
  <c r="AJ74"/>
  <c r="AJ79"/>
  <c r="AJ90"/>
  <c r="AJ50"/>
  <c r="AJ73"/>
  <c r="AJ85"/>
  <c r="AJ88"/>
  <c r="AJ65"/>
  <c r="AJ84"/>
  <c r="AJ25"/>
  <c r="AJ80"/>
  <c r="AJ76"/>
  <c r="AJ78"/>
  <c r="AJ82"/>
  <c r="AJ67"/>
  <c r="AJ72"/>
  <c r="AJ70"/>
  <c r="AJ71"/>
  <c r="AJ89"/>
  <c r="AJ77"/>
  <c r="AJ92"/>
  <c r="AJ15"/>
  <c r="AJ61"/>
  <c r="AJ75"/>
  <c r="AJ91"/>
  <c r="AJ54"/>
  <c r="AJ95"/>
  <c r="AJ93"/>
  <c r="AK4"/>
  <c r="AK16" l="1"/>
  <c r="AK17"/>
  <c r="AK28"/>
  <c r="AK27"/>
  <c r="AK30"/>
  <c r="AK33"/>
  <c r="AK21"/>
  <c r="AK29"/>
  <c r="AK32"/>
  <c r="AK22"/>
  <c r="AK25"/>
  <c r="AK24"/>
  <c r="AK35"/>
  <c r="AK42"/>
  <c r="AK46"/>
  <c r="AK20"/>
  <c r="AK31"/>
  <c r="AK34"/>
  <c r="AK41"/>
  <c r="AK45"/>
  <c r="AK37"/>
  <c r="AK19"/>
  <c r="AK23"/>
  <c r="AK36"/>
  <c r="AK40"/>
  <c r="AK39"/>
  <c r="AK26"/>
  <c r="AK38"/>
  <c r="AK50"/>
  <c r="AK54"/>
  <c r="AK61"/>
  <c r="AK53"/>
  <c r="AK60"/>
  <c r="AK52"/>
  <c r="AK43"/>
  <c r="AK48"/>
  <c r="AK49"/>
  <c r="AK58"/>
  <c r="AK47"/>
  <c r="AK57"/>
  <c r="AK56"/>
  <c r="AK44"/>
  <c r="AK55"/>
  <c r="AK71"/>
  <c r="AK75"/>
  <c r="AK91"/>
  <c r="AK92"/>
  <c r="AK93"/>
  <c r="AK64"/>
  <c r="AK68"/>
  <c r="AK74"/>
  <c r="AK79"/>
  <c r="AK81"/>
  <c r="AK73"/>
  <c r="AK85"/>
  <c r="AK88"/>
  <c r="AK65"/>
  <c r="AK84"/>
  <c r="AK63"/>
  <c r="AK70"/>
  <c r="AK77"/>
  <c r="AK51"/>
  <c r="AK76"/>
  <c r="AK78"/>
  <c r="AK15"/>
  <c r="AK83"/>
  <c r="AK95"/>
  <c r="AK89"/>
  <c r="AK90"/>
  <c r="AK72"/>
  <c r="AK82"/>
  <c r="AK67"/>
  <c r="AK80"/>
  <c r="AL4"/>
  <c r="AL16" l="1"/>
  <c r="AL17"/>
  <c r="AL28"/>
  <c r="AL27"/>
  <c r="AL30"/>
  <c r="AL33"/>
  <c r="AL20"/>
  <c r="AL23"/>
  <c r="AL26"/>
  <c r="AL21"/>
  <c r="AL43"/>
  <c r="AL47"/>
  <c r="AL24"/>
  <c r="AL35"/>
  <c r="AL42"/>
  <c r="AL46"/>
  <c r="AL31"/>
  <c r="AL34"/>
  <c r="AL41"/>
  <c r="AL45"/>
  <c r="AL37"/>
  <c r="AL19"/>
  <c r="AL36"/>
  <c r="AL40"/>
  <c r="AL22"/>
  <c r="AL32"/>
  <c r="AL39"/>
  <c r="AL25"/>
  <c r="AL51"/>
  <c r="AL50"/>
  <c r="AL54"/>
  <c r="AL61"/>
  <c r="AL53"/>
  <c r="AL60"/>
  <c r="AL52"/>
  <c r="AL48"/>
  <c r="AL49"/>
  <c r="AL58"/>
  <c r="AL38"/>
  <c r="AL57"/>
  <c r="AL29"/>
  <c r="AL56"/>
  <c r="AL67"/>
  <c r="AL72"/>
  <c r="AL55"/>
  <c r="AL71"/>
  <c r="AL75"/>
  <c r="AL64"/>
  <c r="AL68"/>
  <c r="AL74"/>
  <c r="AL79"/>
  <c r="AL81"/>
  <c r="AL73"/>
  <c r="AL85"/>
  <c r="AL88"/>
  <c r="AL80"/>
  <c r="AL83"/>
  <c r="AL63"/>
  <c r="AL70"/>
  <c r="AL77"/>
  <c r="AL84"/>
  <c r="AL91"/>
  <c r="AL93"/>
  <c r="AL95"/>
  <c r="AL76"/>
  <c r="AL65"/>
  <c r="AL82"/>
  <c r="AL89"/>
  <c r="AL90"/>
  <c r="AL92"/>
  <c r="AL44"/>
  <c r="AL15"/>
  <c r="AL78"/>
  <c r="AM4"/>
  <c r="AM60" s="1"/>
  <c r="AM16" l="1"/>
  <c r="AM19"/>
  <c r="AM24"/>
  <c r="AM18"/>
  <c r="AM17"/>
  <c r="AM28"/>
  <c r="AM21"/>
  <c r="AM29"/>
  <c r="AM25"/>
  <c r="AM44"/>
  <c r="AM30"/>
  <c r="AM33"/>
  <c r="AM43"/>
  <c r="AM47"/>
  <c r="AM20"/>
  <c r="AM35"/>
  <c r="AM42"/>
  <c r="AM46"/>
  <c r="AM31"/>
  <c r="AM34"/>
  <c r="AM41"/>
  <c r="AM23"/>
  <c r="AM27"/>
  <c r="AM37"/>
  <c r="AM36"/>
  <c r="AM40"/>
  <c r="AM55"/>
  <c r="AM63"/>
  <c r="AM51"/>
  <c r="AM62"/>
  <c r="AM50"/>
  <c r="AM54"/>
  <c r="AM61"/>
  <c r="AM26"/>
  <c r="AM32"/>
  <c r="AM45"/>
  <c r="AM53"/>
  <c r="AM52"/>
  <c r="AM22"/>
  <c r="AM48"/>
  <c r="AM49"/>
  <c r="AM58"/>
  <c r="AM38"/>
  <c r="AM69"/>
  <c r="AM76"/>
  <c r="AM78"/>
  <c r="AM82"/>
  <c r="AM15"/>
  <c r="AM67"/>
  <c r="AM72"/>
  <c r="AM71"/>
  <c r="AM75"/>
  <c r="AM64"/>
  <c r="AM68"/>
  <c r="AM74"/>
  <c r="AM79"/>
  <c r="AM81"/>
  <c r="AM65"/>
  <c r="AM84"/>
  <c r="AM39"/>
  <c r="AM56"/>
  <c r="AM57"/>
  <c r="AM80"/>
  <c r="AM70"/>
  <c r="AM88"/>
  <c r="AM91"/>
  <c r="AM93"/>
  <c r="AM95"/>
  <c r="AM73"/>
  <c r="AM89"/>
  <c r="AM83"/>
  <c r="AM90"/>
  <c r="AM77"/>
  <c r="AM85"/>
  <c r="AM92"/>
  <c r="AN4"/>
  <c r="AN16" l="1"/>
  <c r="AN22"/>
  <c r="AN25"/>
  <c r="AN19"/>
  <c r="AN24"/>
  <c r="AN18"/>
  <c r="AN17"/>
  <c r="AN27"/>
  <c r="AN29"/>
  <c r="AN38"/>
  <c r="AN48"/>
  <c r="AN21"/>
  <c r="AN44"/>
  <c r="AN30"/>
  <c r="AN33"/>
  <c r="AN43"/>
  <c r="AN47"/>
  <c r="AN20"/>
  <c r="AN28"/>
  <c r="AN35"/>
  <c r="AN31"/>
  <c r="AN34"/>
  <c r="AN41"/>
  <c r="AN23"/>
  <c r="AN37"/>
  <c r="AN39"/>
  <c r="AN56"/>
  <c r="AN64"/>
  <c r="AN40"/>
  <c r="AN55"/>
  <c r="AN63"/>
  <c r="AN51"/>
  <c r="AN62"/>
  <c r="AN36"/>
  <c r="AN50"/>
  <c r="AN54"/>
  <c r="AN26"/>
  <c r="AN32"/>
  <c r="AN42"/>
  <c r="AN45"/>
  <c r="AN46"/>
  <c r="AN53"/>
  <c r="AN52"/>
  <c r="AN59"/>
  <c r="AN49"/>
  <c r="AN58"/>
  <c r="AN66"/>
  <c r="AN70"/>
  <c r="AN77"/>
  <c r="AN95"/>
  <c r="AN60"/>
  <c r="AN69"/>
  <c r="AN76"/>
  <c r="AN78"/>
  <c r="AN82"/>
  <c r="AN67"/>
  <c r="AN72"/>
  <c r="AN71"/>
  <c r="AN75"/>
  <c r="AN73"/>
  <c r="AN65"/>
  <c r="AN80"/>
  <c r="AN84"/>
  <c r="AN88"/>
  <c r="AN91"/>
  <c r="AN93"/>
  <c r="AN57"/>
  <c r="AN79"/>
  <c r="AN83"/>
  <c r="AN89"/>
  <c r="AN90"/>
  <c r="AN68"/>
  <c r="AN74"/>
  <c r="AN81"/>
  <c r="AN85"/>
  <c r="AN92"/>
  <c r="AN15"/>
  <c r="AO4"/>
  <c r="AO16" l="1"/>
  <c r="AO20"/>
  <c r="AO23"/>
  <c r="AO26"/>
  <c r="AO31"/>
  <c r="AO22"/>
  <c r="AO25"/>
  <c r="AO19"/>
  <c r="AO24"/>
  <c r="AO18"/>
  <c r="AO28"/>
  <c r="AO32"/>
  <c r="AO39"/>
  <c r="AO49"/>
  <c r="AO29"/>
  <c r="AO38"/>
  <c r="AO48"/>
  <c r="AO21"/>
  <c r="AO44"/>
  <c r="AO30"/>
  <c r="AO33"/>
  <c r="AO35"/>
  <c r="AO27"/>
  <c r="AO34"/>
  <c r="AO41"/>
  <c r="AO57"/>
  <c r="AO65"/>
  <c r="AO56"/>
  <c r="AO64"/>
  <c r="AO40"/>
  <c r="AO55"/>
  <c r="AO63"/>
  <c r="AO51"/>
  <c r="AO17"/>
  <c r="AO36"/>
  <c r="AO43"/>
  <c r="AO50"/>
  <c r="AO54"/>
  <c r="AO37"/>
  <c r="AO42"/>
  <c r="AO45"/>
  <c r="AO46"/>
  <c r="AO47"/>
  <c r="AO53"/>
  <c r="AO60"/>
  <c r="AO52"/>
  <c r="AO61"/>
  <c r="AO80"/>
  <c r="AO83"/>
  <c r="AO89"/>
  <c r="AO58"/>
  <c r="AO66"/>
  <c r="AO70"/>
  <c r="AO77"/>
  <c r="AO69"/>
  <c r="AO76"/>
  <c r="AO78"/>
  <c r="AO82"/>
  <c r="AO59"/>
  <c r="AO62"/>
  <c r="AO67"/>
  <c r="AO72"/>
  <c r="AO68"/>
  <c r="AO74"/>
  <c r="AO79"/>
  <c r="AO81"/>
  <c r="AO73"/>
  <c r="AO75"/>
  <c r="AO92"/>
  <c r="AO71"/>
  <c r="AO84"/>
  <c r="AO95"/>
  <c r="AO88"/>
  <c r="AO91"/>
  <c r="AO93"/>
  <c r="AO85"/>
  <c r="AO15"/>
  <c r="AO90"/>
  <c r="AP4"/>
  <c r="AP16" l="1"/>
  <c r="AP21"/>
  <c r="AP29"/>
  <c r="AP32"/>
  <c r="AP20"/>
  <c r="AP23"/>
  <c r="AP26"/>
  <c r="AP31"/>
  <c r="AP22"/>
  <c r="AP25"/>
  <c r="AP19"/>
  <c r="AP24"/>
  <c r="AP17"/>
  <c r="AP36"/>
  <c r="AP40"/>
  <c r="AP39"/>
  <c r="AP49"/>
  <c r="AP38"/>
  <c r="AP48"/>
  <c r="AP28"/>
  <c r="AP30"/>
  <c r="AP33"/>
  <c r="AP35"/>
  <c r="AP42"/>
  <c r="AP44"/>
  <c r="AP58"/>
  <c r="AP66"/>
  <c r="AP34"/>
  <c r="AP57"/>
  <c r="AP56"/>
  <c r="AP64"/>
  <c r="AP41"/>
  <c r="AP55"/>
  <c r="AP51"/>
  <c r="AP43"/>
  <c r="AP50"/>
  <c r="AP54"/>
  <c r="AP61"/>
  <c r="AP37"/>
  <c r="AP45"/>
  <c r="AP46"/>
  <c r="AP47"/>
  <c r="AP53"/>
  <c r="AP18"/>
  <c r="AP84"/>
  <c r="AP80"/>
  <c r="AP83"/>
  <c r="AP60"/>
  <c r="AP70"/>
  <c r="AP77"/>
  <c r="AP52"/>
  <c r="AP69"/>
  <c r="AP76"/>
  <c r="AP78"/>
  <c r="AP82"/>
  <c r="AP71"/>
  <c r="AP75"/>
  <c r="AP68"/>
  <c r="AP74"/>
  <c r="AP27"/>
  <c r="AP59"/>
  <c r="AP85"/>
  <c r="AP92"/>
  <c r="AP15"/>
  <c r="AP93"/>
  <c r="AP63"/>
  <c r="AP62"/>
  <c r="AP79"/>
  <c r="AP72"/>
  <c r="AP95"/>
  <c r="AP88"/>
  <c r="AP91"/>
  <c r="AP65"/>
  <c r="AP73"/>
  <c r="AP81"/>
  <c r="AP67"/>
  <c r="AP89"/>
  <c r="AP90"/>
  <c r="AQ4"/>
  <c r="AQ16" l="1"/>
  <c r="AQ27"/>
  <c r="AQ30"/>
  <c r="AQ33"/>
  <c r="AQ21"/>
  <c r="AQ29"/>
  <c r="AQ32"/>
  <c r="AQ20"/>
  <c r="AQ23"/>
  <c r="AQ26"/>
  <c r="AQ31"/>
  <c r="AQ22"/>
  <c r="AQ25"/>
  <c r="AQ18"/>
  <c r="AQ17"/>
  <c r="AQ37"/>
  <c r="AQ36"/>
  <c r="AQ40"/>
  <c r="AQ24"/>
  <c r="AQ39"/>
  <c r="AQ49"/>
  <c r="AQ38"/>
  <c r="AQ19"/>
  <c r="AQ28"/>
  <c r="AQ43"/>
  <c r="AQ52"/>
  <c r="AQ59"/>
  <c r="AQ67"/>
  <c r="AQ44"/>
  <c r="AQ58"/>
  <c r="AQ34"/>
  <c r="AQ57"/>
  <c r="AQ35"/>
  <c r="AQ56"/>
  <c r="AQ41"/>
  <c r="AQ55"/>
  <c r="AQ51"/>
  <c r="AQ62"/>
  <c r="AQ42"/>
  <c r="AQ48"/>
  <c r="AQ50"/>
  <c r="AQ54"/>
  <c r="AQ47"/>
  <c r="AQ53"/>
  <c r="AQ63"/>
  <c r="AQ65"/>
  <c r="AQ73"/>
  <c r="AQ85"/>
  <c r="AQ61"/>
  <c r="AQ84"/>
  <c r="AQ45"/>
  <c r="AQ66"/>
  <c r="AQ80"/>
  <c r="AQ83"/>
  <c r="AQ60"/>
  <c r="AQ70"/>
  <c r="AQ77"/>
  <c r="AQ46"/>
  <c r="AQ72"/>
  <c r="AQ71"/>
  <c r="AQ75"/>
  <c r="AQ69"/>
  <c r="AQ78"/>
  <c r="AQ81"/>
  <c r="AQ90"/>
  <c r="AQ92"/>
  <c r="AQ15"/>
  <c r="AQ76"/>
  <c r="AQ95"/>
  <c r="AQ79"/>
  <c r="AQ82"/>
  <c r="AQ91"/>
  <c r="AQ93"/>
  <c r="AQ68"/>
  <c r="AQ74"/>
  <c r="AQ89"/>
  <c r="AQ64"/>
  <c r="AR4"/>
  <c r="AR16" l="1"/>
  <c r="AS4"/>
  <c r="AS26" s="1"/>
  <c r="AR28"/>
  <c r="AR27"/>
  <c r="AR30"/>
  <c r="AR33"/>
  <c r="AR21"/>
  <c r="AR29"/>
  <c r="AR32"/>
  <c r="AR20"/>
  <c r="AR23"/>
  <c r="AR26"/>
  <c r="AR31"/>
  <c r="AR19"/>
  <c r="AR24"/>
  <c r="AR34"/>
  <c r="AR41"/>
  <c r="AR45"/>
  <c r="AR17"/>
  <c r="AR25"/>
  <c r="AR37"/>
  <c r="AR36"/>
  <c r="AR40"/>
  <c r="AR39"/>
  <c r="AR38"/>
  <c r="AR44"/>
  <c r="AR18"/>
  <c r="AR46"/>
  <c r="AR47"/>
  <c r="AR53"/>
  <c r="AR60"/>
  <c r="AR68"/>
  <c r="AR52"/>
  <c r="AR59"/>
  <c r="AR58"/>
  <c r="AR57"/>
  <c r="AR35"/>
  <c r="AR56"/>
  <c r="AR55"/>
  <c r="AR63"/>
  <c r="AR22"/>
  <c r="AR43"/>
  <c r="AR51"/>
  <c r="AR74"/>
  <c r="AR79"/>
  <c r="AR81"/>
  <c r="AR90"/>
  <c r="AR65"/>
  <c r="AR73"/>
  <c r="AR85"/>
  <c r="AR50"/>
  <c r="AR61"/>
  <c r="AR84"/>
  <c r="AR42"/>
  <c r="AR48"/>
  <c r="AR66"/>
  <c r="AR80"/>
  <c r="AR83"/>
  <c r="AR54"/>
  <c r="AR62"/>
  <c r="AR64"/>
  <c r="AR67"/>
  <c r="AR69"/>
  <c r="AR76"/>
  <c r="AR78"/>
  <c r="AR82"/>
  <c r="AR49"/>
  <c r="AR72"/>
  <c r="AR89"/>
  <c r="AR75"/>
  <c r="AR77"/>
  <c r="AR70"/>
  <c r="AR92"/>
  <c r="AR15"/>
  <c r="AR71"/>
  <c r="AR95"/>
  <c r="AR91"/>
  <c r="AR93"/>
  <c r="AS77" l="1"/>
  <c r="AS49"/>
  <c r="AS44"/>
  <c r="AS90"/>
  <c r="AS30"/>
  <c r="AS79"/>
  <c r="AS24"/>
  <c r="AS95"/>
  <c r="AS68"/>
  <c r="AS16"/>
  <c r="AT4"/>
  <c r="AT21" s="1"/>
  <c r="AS80"/>
  <c r="AS62"/>
  <c r="AS81"/>
  <c r="AS71"/>
  <c r="AS52"/>
  <c r="AS50"/>
  <c r="AS36"/>
  <c r="AS35"/>
  <c r="AS33"/>
  <c r="AS83"/>
  <c r="AS40"/>
  <c r="AS51"/>
  <c r="AS19"/>
  <c r="AS29"/>
  <c r="AS67"/>
  <c r="AS91"/>
  <c r="AS20"/>
  <c r="AS15"/>
  <c r="AS69"/>
  <c r="AS85"/>
  <c r="AS92"/>
  <c r="AS58"/>
  <c r="AS23"/>
  <c r="AS39"/>
  <c r="AS34"/>
  <c r="AS32"/>
  <c r="AS65"/>
  <c r="AS59"/>
  <c r="AS42"/>
  <c r="AS73"/>
  <c r="AS61"/>
  <c r="AS46"/>
  <c r="AS72"/>
  <c r="AS76"/>
  <c r="AS84"/>
  <c r="AS93"/>
  <c r="AS57"/>
  <c r="AS47"/>
  <c r="AS31"/>
  <c r="AS41"/>
  <c r="AS22"/>
  <c r="AS17"/>
  <c r="AS64"/>
  <c r="AS54"/>
  <c r="AS66"/>
  <c r="AS56"/>
  <c r="AS25"/>
  <c r="AS75"/>
  <c r="AS21"/>
  <c r="AS78"/>
  <c r="AS43"/>
  <c r="AS63"/>
  <c r="AS53"/>
  <c r="AS38"/>
  <c r="AS45"/>
  <c r="AS28"/>
  <c r="AS82"/>
  <c r="AS89"/>
  <c r="AS70"/>
  <c r="AS74"/>
  <c r="AS55"/>
  <c r="AS60"/>
  <c r="AS48"/>
  <c r="AS37"/>
  <c r="AS18"/>
  <c r="AS27"/>
  <c r="AT35" l="1"/>
  <c r="AT71"/>
  <c r="AT95"/>
  <c r="AT33"/>
  <c r="AT77"/>
  <c r="AT52"/>
  <c r="AT48"/>
  <c r="AT73"/>
  <c r="AT16"/>
  <c r="AT78"/>
  <c r="AT63"/>
  <c r="AT26"/>
  <c r="AT64"/>
  <c r="AT49"/>
  <c r="AT38"/>
  <c r="AT19"/>
  <c r="AT24"/>
  <c r="AT23"/>
  <c r="AT93"/>
  <c r="AT66"/>
  <c r="AT58"/>
  <c r="AT54"/>
  <c r="AT25"/>
  <c r="AT18"/>
  <c r="AT91"/>
  <c r="AT76"/>
  <c r="AT80"/>
  <c r="AT74"/>
  <c r="AT57"/>
  <c r="AT61"/>
  <c r="AT40"/>
  <c r="AT29"/>
  <c r="AT22"/>
  <c r="AT17"/>
  <c r="AT75"/>
  <c r="AT59"/>
  <c r="AT37"/>
  <c r="AT20"/>
  <c r="AT67"/>
  <c r="AT82"/>
  <c r="AT36"/>
  <c r="AU4"/>
  <c r="AU30" s="1"/>
  <c r="AT84"/>
  <c r="AT83"/>
  <c r="AT79"/>
  <c r="AT56"/>
  <c r="AT53"/>
  <c r="AT39"/>
  <c r="AT34"/>
  <c r="AT43"/>
  <c r="AT28"/>
  <c r="AT85"/>
  <c r="AT55"/>
  <c r="AT50"/>
  <c r="AT46"/>
  <c r="AT31"/>
  <c r="AT51"/>
  <c r="AT69"/>
  <c r="AT42"/>
  <c r="AT92"/>
  <c r="AT81"/>
  <c r="AT72"/>
  <c r="AT60"/>
  <c r="AT41"/>
  <c r="AT47"/>
  <c r="AT27"/>
  <c r="AT15"/>
  <c r="AT70"/>
  <c r="AT65"/>
  <c r="AT68"/>
  <c r="AT44"/>
  <c r="AT62"/>
  <c r="AT45"/>
  <c r="AT32"/>
  <c r="AT30"/>
  <c r="AU35"/>
  <c r="AU63"/>
  <c r="AU50"/>
  <c r="AU80"/>
  <c r="AU67" l="1"/>
  <c r="AU66"/>
  <c r="AU68"/>
  <c r="AU42"/>
  <c r="AU21"/>
  <c r="AU55"/>
  <c r="AU91"/>
  <c r="AU64"/>
  <c r="AU16"/>
  <c r="AU77"/>
  <c r="AU71"/>
  <c r="AU54"/>
  <c r="AU33"/>
  <c r="AU29"/>
  <c r="AU83"/>
  <c r="AU75"/>
  <c r="AU61"/>
  <c r="AU36"/>
  <c r="AU46"/>
  <c r="AU44"/>
  <c r="AU65"/>
  <c r="AU74"/>
  <c r="AU53"/>
  <c r="AU40"/>
  <c r="AU22"/>
  <c r="AU19"/>
  <c r="AU69"/>
  <c r="AU73"/>
  <c r="AU56"/>
  <c r="AU79"/>
  <c r="AU78"/>
  <c r="AU60"/>
  <c r="AU62"/>
  <c r="AU27"/>
  <c r="AU34"/>
  <c r="AU26"/>
  <c r="AU24"/>
  <c r="AU93"/>
  <c r="AU95"/>
  <c r="AU76"/>
  <c r="AU51"/>
  <c r="AU25"/>
  <c r="AU85"/>
  <c r="AU82"/>
  <c r="AU23"/>
  <c r="AU31"/>
  <c r="AU43"/>
  <c r="AU18"/>
  <c r="AU92"/>
  <c r="AU39"/>
  <c r="AU81"/>
  <c r="AU52"/>
  <c r="AU41"/>
  <c r="AU59"/>
  <c r="AU15"/>
  <c r="AU58"/>
  <c r="AU48"/>
  <c r="AU38"/>
  <c r="AU37"/>
  <c r="AU47"/>
  <c r="AU17"/>
  <c r="AU70"/>
  <c r="AU84"/>
  <c r="AU72"/>
  <c r="AU57"/>
  <c r="AU49"/>
  <c r="AU45"/>
  <c r="AU20"/>
  <c r="AU32"/>
  <c r="AU28"/>
</calcChain>
</file>

<file path=xl/sharedStrings.xml><?xml version="1.0" encoding="utf-8"?>
<sst xmlns="http://schemas.openxmlformats.org/spreadsheetml/2006/main" count="212" uniqueCount="128">
  <si>
    <t>PROJECT: THE SAGE BY REPOSE — CONSTRUCTION PLANNING</t>
  </si>
  <si>
    <t>OVERALL PROGRESS</t>
  </si>
  <si>
    <t>2024</t>
  </si>
  <si>
    <t>2025</t>
  </si>
  <si>
    <t>2026</t>
  </si>
  <si>
    <t>2027</t>
  </si>
  <si>
    <t>TASK NAME</t>
  </si>
  <si>
    <t>START DATE</t>
  </si>
  <si>
    <t>END DATE</t>
  </si>
  <si>
    <t xml:space="preserve">  1.0   SOUTH GREENWAY-1</t>
  </si>
  <si>
    <t>1.1</t>
  </si>
  <si>
    <t>Civil work</t>
  </si>
  <si>
    <t>11-Dec-24</t>
  </si>
  <si>
    <t>Completed</t>
  </si>
  <si>
    <t>1.2</t>
  </si>
  <si>
    <t>MEP work</t>
  </si>
  <si>
    <t>08-Jan-25</t>
  </si>
  <si>
    <t>1.3</t>
  </si>
  <si>
    <t>Finishing Work</t>
  </si>
  <si>
    <t>20-Jan-25</t>
  </si>
  <si>
    <t>1.4</t>
  </si>
  <si>
    <t>1.5</t>
  </si>
  <si>
    <t>Landscape work</t>
  </si>
  <si>
    <t>25-Jan-25</t>
  </si>
  <si>
    <t>2.1</t>
  </si>
  <si>
    <t>2.2</t>
  </si>
  <si>
    <t>2.3</t>
  </si>
  <si>
    <t>2.4</t>
  </si>
  <si>
    <t>2.5</t>
  </si>
  <si>
    <t xml:space="preserve">  3.0   SOUTH GREENWAY-3</t>
  </si>
  <si>
    <t>3.1</t>
  </si>
  <si>
    <t>3.2</t>
  </si>
  <si>
    <t>3.3</t>
  </si>
  <si>
    <t>3.4</t>
  </si>
  <si>
    <t>3.5</t>
  </si>
  <si>
    <t xml:space="preserve">  4.0   SOUTH GREENWAY-4</t>
  </si>
  <si>
    <t>4.1</t>
  </si>
  <si>
    <t>4.2</t>
  </si>
  <si>
    <t>4.3</t>
  </si>
  <si>
    <t>4.4</t>
  </si>
  <si>
    <t>4.5</t>
  </si>
  <si>
    <t xml:space="preserve">  5.0   SOUTH GREENWAY-5</t>
  </si>
  <si>
    <t>5.1</t>
  </si>
  <si>
    <t>5.2</t>
  </si>
  <si>
    <t>5.3</t>
  </si>
  <si>
    <t>5.4</t>
  </si>
  <si>
    <t>5.5</t>
  </si>
  <si>
    <t xml:space="preserve">  6.0   NORTH GREENWAY-1</t>
  </si>
  <si>
    <t>6.1</t>
  </si>
  <si>
    <t>6.2</t>
  </si>
  <si>
    <t>6.3</t>
  </si>
  <si>
    <t>6.4</t>
  </si>
  <si>
    <t>6.5</t>
  </si>
  <si>
    <t xml:space="preserve">  7.0   NORTH GREENWAY-2</t>
  </si>
  <si>
    <t>7.1</t>
  </si>
  <si>
    <t>7.2</t>
  </si>
  <si>
    <t>7.3</t>
  </si>
  <si>
    <t>7.4</t>
  </si>
  <si>
    <t>7.5</t>
  </si>
  <si>
    <t xml:space="preserve">  8.0   NORTH GREENWAY-3</t>
  </si>
  <si>
    <t>8.1</t>
  </si>
  <si>
    <t>8.2</t>
  </si>
  <si>
    <t>8.3</t>
  </si>
  <si>
    <t>8.4</t>
  </si>
  <si>
    <t>8.5</t>
  </si>
  <si>
    <t xml:space="preserve">  9.0   NORTH GREENWAY-4</t>
  </si>
  <si>
    <t>9.1</t>
  </si>
  <si>
    <t>9.2</t>
  </si>
  <si>
    <t>9.3</t>
  </si>
  <si>
    <t>9.4</t>
  </si>
  <si>
    <t>9.5</t>
  </si>
  <si>
    <t>10.1</t>
  </si>
  <si>
    <t>10.2</t>
  </si>
  <si>
    <t>10.3</t>
  </si>
  <si>
    <t>10.4</t>
  </si>
  <si>
    <t>10.5</t>
  </si>
  <si>
    <t>11.1</t>
  </si>
  <si>
    <t>11.2</t>
  </si>
  <si>
    <t>11.3</t>
  </si>
  <si>
    <t>Finishing work</t>
  </si>
  <si>
    <t>11.4</t>
  </si>
  <si>
    <t>Interior Work</t>
  </si>
  <si>
    <t>11.5</t>
  </si>
  <si>
    <t>11.6</t>
  </si>
  <si>
    <t xml:space="preserve">  12.0   CLUB HOUSE</t>
  </si>
  <si>
    <t>12.1</t>
  </si>
  <si>
    <t>12.2</t>
  </si>
  <si>
    <t>12.3</t>
  </si>
  <si>
    <t>12.4</t>
  </si>
  <si>
    <t>12.5</t>
  </si>
  <si>
    <t>12.6</t>
  </si>
  <si>
    <t>STATUS SUMMARY</t>
  </si>
  <si>
    <t>Completed (100%)</t>
  </si>
  <si>
    <t>Boundary &amp; Gates</t>
  </si>
  <si>
    <t>South Greenways</t>
  </si>
  <si>
    <t>Not Started (0%)</t>
  </si>
  <si>
    <t>In Progress</t>
  </si>
  <si>
    <t>North Greenways</t>
  </si>
  <si>
    <t>Recreation/Club</t>
  </si>
  <si>
    <t>MAIN GATE(INC. STRUCTURE)</t>
  </si>
  <si>
    <t>MATERIAL GATE</t>
  </si>
  <si>
    <t>PLOT BOUNDRY WALL</t>
  </si>
  <si>
    <t>NA</t>
  </si>
  <si>
    <t>COMMON AREA LANDSCAPING DEVELOPMENT</t>
  </si>
  <si>
    <t>ELECTRIC WORKS</t>
  </si>
  <si>
    <t>INTERNAL ROADS WITH TRIMIX</t>
  </si>
  <si>
    <t>Total Main Tasks</t>
  </si>
  <si>
    <t>Other Infrastructure</t>
  </si>
  <si>
    <t xml:space="preserve">  PROJECT TIMELINE</t>
  </si>
  <si>
    <t>PHASE PROGRESS(%)</t>
  </si>
  <si>
    <t>TASK NO.</t>
  </si>
  <si>
    <t>lighting work</t>
  </si>
  <si>
    <t xml:space="preserve">PLUMBING WORKS &amp; IRRIGATION WORK </t>
  </si>
  <si>
    <t>ACTUAL (%)
COMPLETE</t>
  </si>
  <si>
    <t>MONTHS PASSED(31ST MAY,26)</t>
  </si>
  <si>
    <t>MONTHS</t>
  </si>
  <si>
    <t xml:space="preserve">        START DATE: Oct 2024     |     END DATE: DEC 2027     |     PROJECT DURATION: ~3 Years                                                               </t>
  </si>
  <si>
    <t>DURATION(in days)</t>
  </si>
  <si>
    <t xml:space="preserve">  10.0  NORTH GREENWAY-5</t>
  </si>
  <si>
    <t xml:space="preserve">  11.0  RECREATION LOUNGE</t>
  </si>
  <si>
    <t xml:space="preserve">     2.0    SOUTH GREENWAY -2  </t>
  </si>
  <si>
    <t>PLANNED END DATE</t>
  </si>
  <si>
    <t>MEP work(PRE)</t>
  </si>
  <si>
    <t>MEP Work(post)</t>
  </si>
  <si>
    <r>
      <rPr>
        <b/>
        <sz val="14"/>
        <color theme="1"/>
        <rFont val="Calibri"/>
        <family val="2"/>
        <scheme val="minor"/>
      </rPr>
      <t>NOTE</t>
    </r>
    <r>
      <rPr>
        <b/>
        <sz val="12"/>
        <color theme="1"/>
        <rFont val="Calibri"/>
        <family val="2"/>
        <scheme val="minor"/>
      </rPr>
      <t>:</t>
    </r>
    <r>
      <rPr>
        <b/>
        <sz val="12"/>
        <color rgb="FFFF0000"/>
        <rFont val="Calibri"/>
        <family val="2"/>
        <scheme val="minor"/>
      </rPr>
      <t>PARTIAL MONTHS ARE ROUNDED TO THE CORRESPONDING MONTH CELL;REFER TO START AND END DATES FOR EXACT DURATIONS.</t>
    </r>
  </si>
  <si>
    <t>Remarks</t>
  </si>
  <si>
    <t>Work was not allotted         New contractor just finalised</t>
  </si>
  <si>
    <t>Finishing contractor required</t>
  </si>
</sst>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mmm\'yy"/>
  </numFmts>
  <fonts count="39">
    <font>
      <sz val="11"/>
      <color theme="1"/>
      <name val="Calibri"/>
      <family val="2"/>
      <scheme val="minor"/>
    </font>
    <font>
      <b/>
      <sz val="15"/>
      <color rgb="FF1F3864"/>
      <name val="Calibri"/>
      <family val="2"/>
    </font>
    <font>
      <b/>
      <sz val="9"/>
      <color rgb="FFFFFFFF"/>
      <name val="Calibri"/>
      <family val="2"/>
    </font>
    <font>
      <b/>
      <sz val="10"/>
      <color rgb="FF262626"/>
      <name val="Calibri"/>
      <family val="2"/>
    </font>
    <font>
      <sz val="8"/>
      <color rgb="FF595959"/>
      <name val="Calibri"/>
      <family val="2"/>
    </font>
    <font>
      <sz val="9"/>
      <color rgb="FF262626"/>
      <name val="Calibri"/>
      <family val="2"/>
    </font>
    <font>
      <sz val="8"/>
      <color rgb="FF262626"/>
      <name val="Calibri"/>
      <family val="2"/>
    </font>
    <font>
      <b/>
      <sz val="9"/>
      <color rgb="FF375623"/>
      <name val="Calibri"/>
      <family val="2"/>
    </font>
    <font>
      <b/>
      <sz val="9"/>
      <color rgb="FFC55A11"/>
      <name val="Calibri"/>
      <family val="2"/>
    </font>
    <font>
      <b/>
      <sz val="9"/>
      <color rgb="FF595959"/>
      <name val="Calibri"/>
      <family val="2"/>
    </font>
    <font>
      <b/>
      <sz val="9"/>
      <color rgb="FF262626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595959"/>
      <name val="Calibri"/>
      <family val="2"/>
    </font>
    <font>
      <b/>
      <sz val="9"/>
      <color rgb="FFC55A11"/>
      <name val="Calibri"/>
      <family val="2"/>
    </font>
    <font>
      <b/>
      <sz val="9"/>
      <color rgb="FFFFFFFF"/>
      <name val="Calibri"/>
      <family val="2"/>
    </font>
    <font>
      <b/>
      <sz val="10"/>
      <name val="Calibri"/>
      <family val="2"/>
    </font>
    <font>
      <b/>
      <sz val="20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b/>
      <sz val="12"/>
      <color rgb="FF595959"/>
      <name val="Calibri"/>
      <family val="2"/>
    </font>
    <font>
      <b/>
      <sz val="8"/>
      <color rgb="FF262626"/>
      <name val="Calibri"/>
      <family val="2"/>
    </font>
    <font>
      <b/>
      <sz val="8"/>
      <color rgb="FF00B050"/>
      <name val="Calibri"/>
      <family val="2"/>
    </font>
    <font>
      <b/>
      <sz val="20"/>
      <color rgb="FFFFFFFF"/>
      <name val="Calibri"/>
      <family val="2"/>
    </font>
    <font>
      <sz val="8"/>
      <color rgb="FF262626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Calibri"/>
      <family val="2"/>
    </font>
    <font>
      <b/>
      <sz val="9"/>
      <name val="Calibri"/>
      <family val="2"/>
    </font>
    <font>
      <b/>
      <sz val="11"/>
      <name val="Calibri"/>
      <family val="2"/>
      <scheme val="minor"/>
    </font>
    <font>
      <b/>
      <sz val="14"/>
      <color rgb="FF262626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9"/>
      <color rgb="FF00B050"/>
      <name val="Calibri"/>
      <family val="2"/>
    </font>
    <font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theme="2" tint="-0.249977111117893"/>
      </bottom>
      <diagonal/>
    </border>
    <border>
      <left/>
      <right/>
      <top style="thin">
        <color rgb="FFBFBFBF"/>
      </top>
      <bottom style="thin">
        <color theme="2" tint="-0.249977111117893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BFBFBF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rgb="FFBFBFBF"/>
      </bottom>
      <diagonal/>
    </border>
    <border>
      <left style="thin">
        <color theme="2" tint="-0.249977111117893"/>
      </left>
      <right/>
      <top style="thin">
        <color rgb="FFBFBFBF"/>
      </top>
      <bottom style="thin">
        <color rgb="FFBFBFBF"/>
      </bottom>
      <diagonal/>
    </border>
    <border>
      <left style="thin">
        <color theme="2" tint="-0.249977111117893"/>
      </left>
      <right/>
      <top style="thin">
        <color rgb="FFBFBFBF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9" tint="0.39991454817346722"/>
      </left>
      <right style="hair">
        <color theme="9" tint="0.39991454817346722"/>
      </right>
      <top style="hair">
        <color theme="9" tint="0.39991454817346722"/>
      </top>
      <bottom style="hair">
        <color theme="9" tint="0.39991454817346722"/>
      </bottom>
      <diagonal/>
    </border>
    <border>
      <left style="hair">
        <color theme="9" tint="0.39991454817346722"/>
      </left>
      <right/>
      <top style="hair">
        <color theme="9" tint="0.39991454817346722"/>
      </top>
      <bottom style="hair">
        <color theme="9" tint="0.39991454817346722"/>
      </bottom>
      <diagonal/>
    </border>
    <border>
      <left/>
      <right/>
      <top style="hair">
        <color theme="9" tint="0.39991454817346722"/>
      </top>
      <bottom style="hair">
        <color theme="9" tint="0.39991454817346722"/>
      </bottom>
      <diagonal/>
    </border>
    <border>
      <left/>
      <right style="hair">
        <color theme="9" tint="0.39991454817346722"/>
      </right>
      <top style="hair">
        <color theme="9" tint="0.39991454817346722"/>
      </top>
      <bottom style="hair">
        <color theme="9" tint="0.39991454817346722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55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0" fillId="2" borderId="0" xfId="0" applyFill="1"/>
    <xf numFmtId="0" fontId="0" fillId="6" borderId="0" xfId="0" applyFill="1"/>
    <xf numFmtId="0" fontId="4" fillId="2" borderId="7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0" fontId="0" fillId="13" borderId="0" xfId="0" applyFill="1"/>
    <xf numFmtId="0" fontId="22" fillId="13" borderId="3" xfId="0" applyFont="1" applyFill="1" applyBorder="1" applyAlignment="1">
      <alignment vertical="center"/>
    </xf>
    <xf numFmtId="0" fontId="12" fillId="13" borderId="0" xfId="0" applyFont="1" applyFill="1"/>
    <xf numFmtId="165" fontId="0" fillId="0" borderId="0" xfId="0" applyNumberFormat="1"/>
    <xf numFmtId="17" fontId="0" fillId="0" borderId="0" xfId="0" applyNumberFormat="1"/>
    <xf numFmtId="9" fontId="15" fillId="11" borderId="4" xfId="0" applyNumberFormat="1" applyFont="1" applyFill="1" applyBorder="1" applyAlignment="1">
      <alignment horizontal="center" vertical="center"/>
    </xf>
    <xf numFmtId="9" fontId="12" fillId="11" borderId="18" xfId="1" applyFont="1" applyFill="1" applyBorder="1" applyAlignment="1">
      <alignment horizontal="center"/>
    </xf>
    <xf numFmtId="0" fontId="0" fillId="6" borderId="19" xfId="0" applyFill="1" applyBorder="1"/>
    <xf numFmtId="9" fontId="17" fillId="14" borderId="2" xfId="0" applyNumberFormat="1" applyFont="1" applyFill="1" applyBorder="1" applyAlignment="1">
      <alignment vertical="center"/>
    </xf>
    <xf numFmtId="9" fontId="17" fillId="10" borderId="2" xfId="0" applyNumberFormat="1" applyFont="1" applyFill="1" applyBorder="1" applyAlignment="1">
      <alignment vertical="center"/>
    </xf>
    <xf numFmtId="9" fontId="17" fillId="7" borderId="2" xfId="0" applyNumberFormat="1" applyFont="1" applyFill="1" applyBorder="1" applyAlignment="1">
      <alignment vertical="center"/>
    </xf>
    <xf numFmtId="9" fontId="17" fillId="9" borderId="2" xfId="0" applyNumberFormat="1" applyFont="1" applyFill="1" applyBorder="1" applyAlignment="1">
      <alignment vertical="center"/>
    </xf>
    <xf numFmtId="9" fontId="18" fillId="10" borderId="17" xfId="0" applyNumberFormat="1" applyFont="1" applyFill="1" applyBorder="1" applyAlignment="1">
      <alignment vertical="center"/>
    </xf>
    <xf numFmtId="9" fontId="18" fillId="10" borderId="0" xfId="0" applyNumberFormat="1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9" fontId="8" fillId="4" borderId="10" xfId="0" applyNumberFormat="1" applyFont="1" applyFill="1" applyBorder="1" applyAlignment="1">
      <alignment horizontal="center" vertical="center"/>
    </xf>
    <xf numFmtId="9" fontId="8" fillId="4" borderId="4" xfId="0" applyNumberFormat="1" applyFont="1" applyFill="1" applyBorder="1" applyAlignment="1">
      <alignment horizontal="center" vertical="center"/>
    </xf>
    <xf numFmtId="9" fontId="9" fillId="5" borderId="4" xfId="0" applyNumberFormat="1" applyFont="1" applyFill="1" applyBorder="1" applyAlignment="1">
      <alignment horizontal="center" vertical="center"/>
    </xf>
    <xf numFmtId="2" fontId="12" fillId="8" borderId="0" xfId="0" applyNumberFormat="1" applyFont="1" applyFill="1" applyAlignment="1">
      <alignment horizontal="center" vertical="center" wrapText="1"/>
    </xf>
    <xf numFmtId="2" fontId="12" fillId="8" borderId="3" xfId="0" applyNumberFormat="1" applyFont="1" applyFill="1" applyBorder="1" applyAlignment="1">
      <alignment horizontal="center" vertical="center" wrapText="1"/>
    </xf>
    <xf numFmtId="2" fontId="12" fillId="8" borderId="20" xfId="0" applyNumberFormat="1" applyFont="1" applyFill="1" applyBorder="1" applyAlignment="1">
      <alignment horizontal="center" vertical="center"/>
    </xf>
    <xf numFmtId="2" fontId="12" fillId="8" borderId="0" xfId="0" applyNumberFormat="1" applyFont="1" applyFill="1" applyAlignment="1">
      <alignment horizontal="center" vertical="center"/>
    </xf>
    <xf numFmtId="2" fontId="12" fillId="8" borderId="3" xfId="0" applyNumberFormat="1" applyFont="1" applyFill="1" applyBorder="1" applyAlignment="1">
      <alignment horizontal="center" vertical="center"/>
    </xf>
    <xf numFmtId="2" fontId="22" fillId="8" borderId="26" xfId="0" applyNumberFormat="1" applyFont="1" applyFill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 indent="1"/>
    </xf>
    <xf numFmtId="0" fontId="4" fillId="12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left" vertical="center" indent="1"/>
    </xf>
    <xf numFmtId="0" fontId="4" fillId="12" borderId="7" xfId="0" applyFont="1" applyFill="1" applyBorder="1" applyAlignment="1">
      <alignment horizontal="center" vertical="center"/>
    </xf>
    <xf numFmtId="164" fontId="26" fillId="12" borderId="2" xfId="0" applyNumberFormat="1" applyFont="1" applyFill="1" applyBorder="1" applyAlignment="1">
      <alignment horizontal="center" vertical="center"/>
    </xf>
    <xf numFmtId="164" fontId="28" fillId="12" borderId="0" xfId="0" applyNumberFormat="1" applyFont="1" applyFill="1" applyAlignment="1">
      <alignment horizontal="center"/>
    </xf>
    <xf numFmtId="164" fontId="6" fillId="12" borderId="2" xfId="0" applyNumberFormat="1" applyFont="1" applyFill="1" applyBorder="1" applyAlignment="1">
      <alignment horizontal="center" vertical="center"/>
    </xf>
    <xf numFmtId="164" fontId="27" fillId="7" borderId="0" xfId="0" applyNumberFormat="1" applyFont="1" applyFill="1" applyAlignment="1">
      <alignment horizontal="center"/>
    </xf>
    <xf numFmtId="0" fontId="14" fillId="7" borderId="4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left" vertical="center" indent="1"/>
    </xf>
    <xf numFmtId="164" fontId="27" fillId="7" borderId="11" xfId="0" applyNumberFormat="1" applyFont="1" applyFill="1" applyBorder="1" applyAlignment="1">
      <alignment horizontal="center"/>
    </xf>
    <xf numFmtId="164" fontId="27" fillId="7" borderId="12" xfId="0" applyNumberFormat="1" applyFont="1" applyFill="1" applyBorder="1" applyAlignment="1">
      <alignment horizontal="center"/>
    </xf>
    <xf numFmtId="0" fontId="5" fillId="7" borderId="23" xfId="0" applyFont="1" applyFill="1" applyBorder="1" applyAlignment="1">
      <alignment horizontal="left" vertical="center" indent="1"/>
    </xf>
    <xf numFmtId="0" fontId="5" fillId="7" borderId="24" xfId="0" applyFont="1" applyFill="1" applyBorder="1" applyAlignment="1">
      <alignment horizontal="left" vertical="center" indent="1"/>
    </xf>
    <xf numFmtId="164" fontId="27" fillId="7" borderId="25" xfId="0" applyNumberFormat="1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left" vertical="center" indent="1"/>
    </xf>
    <xf numFmtId="0" fontId="10" fillId="12" borderId="12" xfId="0" applyFont="1" applyFill="1" applyBorder="1" applyAlignment="1">
      <alignment horizontal="center" vertical="top" wrapText="1"/>
    </xf>
    <xf numFmtId="0" fontId="7" fillId="12" borderId="12" xfId="0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17" fontId="35" fillId="11" borderId="33" xfId="0" applyNumberFormat="1" applyFont="1" applyFill="1" applyBorder="1" applyAlignment="1">
      <alignment horizontal="center" vertical="center" wrapText="1"/>
    </xf>
    <xf numFmtId="17" fontId="35" fillId="11" borderId="6" xfId="0" applyNumberFormat="1" applyFont="1" applyFill="1" applyBorder="1" applyAlignment="1">
      <alignment horizontal="center" vertical="center" wrapText="1"/>
    </xf>
    <xf numFmtId="17" fontId="35" fillId="19" borderId="6" xfId="0" applyNumberFormat="1" applyFont="1" applyFill="1" applyBorder="1" applyAlignment="1">
      <alignment horizontal="center" vertical="center" wrapText="1"/>
    </xf>
    <xf numFmtId="17" fontId="21" fillId="15" borderId="6" xfId="0" applyNumberFormat="1" applyFont="1" applyFill="1" applyBorder="1" applyAlignment="1">
      <alignment horizontal="center" vertical="center" wrapText="1"/>
    </xf>
    <xf numFmtId="17" fontId="35" fillId="18" borderId="6" xfId="0" applyNumberFormat="1" applyFont="1" applyFill="1" applyBorder="1" applyAlignment="1">
      <alignment horizontal="center" vertical="center" wrapText="1"/>
    </xf>
    <xf numFmtId="17" fontId="21" fillId="17" borderId="6" xfId="0" applyNumberFormat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0" fillId="6" borderId="8" xfId="0" applyFill="1" applyBorder="1"/>
    <xf numFmtId="0" fontId="0" fillId="6" borderId="8" xfId="0" applyFill="1" applyBorder="1" applyAlignment="1">
      <alignment horizontal="center"/>
    </xf>
    <xf numFmtId="0" fontId="4" fillId="6" borderId="8" xfId="0" applyFont="1" applyFill="1" applyBorder="1" applyAlignment="1">
      <alignment horizontal="center" vertical="center"/>
    </xf>
    <xf numFmtId="0" fontId="0" fillId="9" borderId="30" xfId="0" applyFill="1" applyBorder="1" applyAlignment="1">
      <alignment horizontal="center"/>
    </xf>
    <xf numFmtId="9" fontId="12" fillId="11" borderId="32" xfId="1" applyFont="1" applyFill="1" applyBorder="1" applyAlignment="1">
      <alignment horizontal="center"/>
    </xf>
    <xf numFmtId="0" fontId="5" fillId="6" borderId="8" xfId="0" applyFont="1" applyFill="1" applyBorder="1" applyAlignment="1">
      <alignment horizontal="left" vertical="center" indent="1"/>
    </xf>
    <xf numFmtId="14" fontId="23" fillId="6" borderId="8" xfId="0" applyNumberFormat="1" applyFont="1" applyFill="1" applyBorder="1" applyAlignment="1">
      <alignment horizontal="center" vertical="center"/>
    </xf>
    <xf numFmtId="14" fontId="24" fillId="6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7" fillId="16" borderId="6" xfId="0" applyFont="1" applyFill="1" applyBorder="1" applyAlignment="1">
      <alignment horizontal="center" vertical="center" wrapText="1"/>
    </xf>
    <xf numFmtId="0" fontId="24" fillId="6" borderId="8" xfId="0" applyFont="1" applyFill="1" applyBorder="1" applyAlignment="1">
      <alignment horizontal="center" vertical="center"/>
    </xf>
    <xf numFmtId="9" fontId="36" fillId="6" borderId="8" xfId="0" applyNumberFormat="1" applyFont="1" applyFill="1" applyBorder="1" applyAlignment="1">
      <alignment horizontal="center" vertical="center"/>
    </xf>
    <xf numFmtId="9" fontId="37" fillId="6" borderId="8" xfId="1" applyFont="1" applyFill="1" applyBorder="1" applyAlignment="1">
      <alignment horizontal="center"/>
    </xf>
    <xf numFmtId="0" fontId="12" fillId="20" borderId="0" xfId="0" applyFont="1" applyFill="1" applyAlignment="1">
      <alignment horizontal="left" vertical="center" wrapText="1"/>
    </xf>
    <xf numFmtId="0" fontId="32" fillId="6" borderId="8" xfId="0" applyFont="1" applyFill="1" applyBorder="1" applyAlignment="1">
      <alignment horizontal="center" vertical="center"/>
    </xf>
    <xf numFmtId="164" fontId="26" fillId="12" borderId="7" xfId="0" applyNumberFormat="1" applyFont="1" applyFill="1" applyBorder="1" applyAlignment="1">
      <alignment horizontal="center" vertical="center"/>
    </xf>
    <xf numFmtId="164" fontId="26" fillId="12" borderId="16" xfId="0" applyNumberFormat="1" applyFont="1" applyFill="1" applyBorder="1" applyAlignment="1">
      <alignment horizontal="center" vertical="center"/>
    </xf>
    <xf numFmtId="164" fontId="26" fillId="12" borderId="6" xfId="0" applyNumberFormat="1" applyFont="1" applyFill="1" applyBorder="1" applyAlignment="1">
      <alignment horizontal="center" vertical="center"/>
    </xf>
    <xf numFmtId="164" fontId="6" fillId="12" borderId="7" xfId="0" applyNumberFormat="1" applyFont="1" applyFill="1" applyBorder="1" applyAlignment="1">
      <alignment horizontal="center" vertical="center"/>
    </xf>
    <xf numFmtId="164" fontId="32" fillId="7" borderId="36" xfId="0" applyNumberFormat="1" applyFont="1" applyFill="1" applyBorder="1" applyAlignment="1">
      <alignment horizontal="center" vertical="center"/>
    </xf>
    <xf numFmtId="164" fontId="34" fillId="7" borderId="35" xfId="0" applyNumberFormat="1" applyFont="1" applyFill="1" applyBorder="1" applyAlignment="1">
      <alignment horizontal="center" vertical="center"/>
    </xf>
    <xf numFmtId="164" fontId="32" fillId="7" borderId="35" xfId="0" applyNumberFormat="1" applyFont="1" applyFill="1" applyBorder="1" applyAlignment="1">
      <alignment horizontal="center" vertical="center"/>
    </xf>
    <xf numFmtId="164" fontId="26" fillId="21" borderId="2" xfId="0" applyNumberFormat="1" applyFont="1" applyFill="1" applyBorder="1" applyAlignment="1">
      <alignment horizontal="center" vertical="center"/>
    </xf>
    <xf numFmtId="0" fontId="19" fillId="10" borderId="21" xfId="0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10" borderId="5" xfId="0" applyFont="1" applyFill="1" applyBorder="1" applyAlignment="1">
      <alignment horizontal="center" vertical="center"/>
    </xf>
    <xf numFmtId="0" fontId="19" fillId="14" borderId="21" xfId="0" applyFont="1" applyFill="1" applyBorder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19" fillId="14" borderId="5" xfId="0" applyFont="1" applyFill="1" applyBorder="1" applyAlignment="1">
      <alignment horizontal="center" vertical="center"/>
    </xf>
    <xf numFmtId="0" fontId="19" fillId="7" borderId="21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18" borderId="3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0" fillId="15" borderId="0" xfId="0" applyFill="1"/>
    <xf numFmtId="0" fontId="12" fillId="13" borderId="0" xfId="0" applyFont="1" applyFill="1" applyAlignment="1">
      <alignment horizontal="center"/>
    </xf>
    <xf numFmtId="0" fontId="19" fillId="9" borderId="0" xfId="0" applyFont="1" applyFill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0" fontId="29" fillId="11" borderId="40" xfId="0" applyFont="1" applyFill="1" applyBorder="1" applyAlignment="1">
      <alignment horizontal="center" vertical="center"/>
    </xf>
    <xf numFmtId="0" fontId="33" fillId="19" borderId="10" xfId="0" applyFont="1" applyFill="1" applyBorder="1" applyAlignment="1">
      <alignment horizontal="center" vertical="center"/>
    </xf>
    <xf numFmtId="0" fontId="0" fillId="0" borderId="3" xfId="0" applyBorder="1"/>
    <xf numFmtId="0" fontId="0" fillId="0" borderId="41" xfId="0" applyBorder="1"/>
    <xf numFmtId="0" fontId="5" fillId="12" borderId="4" xfId="0" applyFont="1" applyFill="1" applyBorder="1" applyAlignment="1">
      <alignment horizontal="left" vertical="center" indent="1"/>
    </xf>
    <xf numFmtId="164" fontId="26" fillId="12" borderId="42" xfId="0" applyNumberFormat="1" applyFont="1" applyFill="1" applyBorder="1" applyAlignment="1">
      <alignment horizontal="center" vertical="center"/>
    </xf>
    <xf numFmtId="164" fontId="6" fillId="12" borderId="42" xfId="0" applyNumberFormat="1" applyFont="1" applyFill="1" applyBorder="1" applyAlignment="1">
      <alignment horizontal="center" vertical="center"/>
    </xf>
    <xf numFmtId="164" fontId="28" fillId="12" borderId="42" xfId="0" applyNumberFormat="1" applyFont="1" applyFill="1" applyBorder="1" applyAlignment="1">
      <alignment horizontal="center"/>
    </xf>
    <xf numFmtId="9" fontId="11" fillId="2" borderId="43" xfId="0" applyNumberFormat="1" applyFont="1" applyFill="1" applyBorder="1"/>
    <xf numFmtId="9" fontId="11" fillId="2" borderId="43" xfId="0" applyNumberFormat="1" applyFont="1" applyFill="1" applyBorder="1" applyAlignment="1">
      <alignment horizontal="center"/>
    </xf>
    <xf numFmtId="9" fontId="11" fillId="0" borderId="43" xfId="0" applyNumberFormat="1" applyFont="1" applyBorder="1"/>
    <xf numFmtId="9" fontId="11" fillId="2" borderId="44" xfId="0" applyNumberFormat="1" applyFont="1" applyFill="1" applyBorder="1"/>
    <xf numFmtId="9" fontId="11" fillId="2" borderId="8" xfId="0" applyNumberFormat="1" applyFont="1" applyFill="1" applyBorder="1"/>
    <xf numFmtId="9" fontId="11" fillId="2" borderId="8" xfId="0" applyNumberFormat="1" applyFont="1" applyFill="1" applyBorder="1" applyAlignment="1">
      <alignment horizontal="center"/>
    </xf>
    <xf numFmtId="0" fontId="0" fillId="0" borderId="8" xfId="0" applyBorder="1"/>
    <xf numFmtId="9" fontId="11" fillId="2" borderId="8" xfId="0" applyNumberFormat="1" applyFont="1" applyFill="1" applyBorder="1" applyAlignment="1">
      <alignment wrapText="1"/>
    </xf>
    <xf numFmtId="9" fontId="11" fillId="2" borderId="43" xfId="0" applyNumberFormat="1" applyFont="1" applyFill="1" applyBorder="1" applyAlignment="1">
      <alignment horizontal="center"/>
    </xf>
    <xf numFmtId="0" fontId="25" fillId="3" borderId="0" xfId="0" applyFont="1" applyFill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9" fontId="11" fillId="2" borderId="28" xfId="0" applyNumberFormat="1" applyFont="1" applyFill="1" applyBorder="1" applyAlignment="1">
      <alignment horizontal="center" wrapText="1"/>
    </xf>
    <xf numFmtId="9" fontId="11" fillId="2" borderId="29" xfId="0" applyNumberFormat="1" applyFont="1" applyFill="1" applyBorder="1" applyAlignment="1">
      <alignment horizontal="center" wrapText="1"/>
    </xf>
    <xf numFmtId="9" fontId="11" fillId="2" borderId="30" xfId="0" applyNumberFormat="1" applyFont="1" applyFill="1" applyBorder="1" applyAlignment="1">
      <alignment horizontal="center" wrapText="1"/>
    </xf>
    <xf numFmtId="9" fontId="11" fillId="2" borderId="44" xfId="0" applyNumberFormat="1" applyFont="1" applyFill="1" applyBorder="1" applyAlignment="1">
      <alignment horizontal="center"/>
    </xf>
    <xf numFmtId="9" fontId="11" fillId="2" borderId="45" xfId="0" applyNumberFormat="1" applyFont="1" applyFill="1" applyBorder="1" applyAlignment="1">
      <alignment horizontal="center"/>
    </xf>
    <xf numFmtId="9" fontId="11" fillId="2" borderId="46" xfId="0" applyNumberFormat="1" applyFont="1" applyFill="1" applyBorder="1" applyAlignment="1">
      <alignment horizontal="center"/>
    </xf>
    <xf numFmtId="0" fontId="32" fillId="7" borderId="10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0" fontId="32" fillId="7" borderId="26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0" fillId="8" borderId="0" xfId="0" applyFill="1"/>
    <xf numFmtId="0" fontId="30" fillId="16" borderId="6" xfId="0" applyFont="1" applyFill="1" applyBorder="1" applyAlignment="1">
      <alignment horizontal="center" vertical="center" wrapText="1"/>
    </xf>
    <xf numFmtId="0" fontId="30" fillId="16" borderId="27" xfId="0" applyFont="1" applyFill="1" applyBorder="1" applyAlignment="1">
      <alignment horizontal="center" vertical="center" wrapText="1"/>
    </xf>
    <xf numFmtId="0" fontId="19" fillId="16" borderId="9" xfId="0" applyFont="1" applyFill="1" applyBorder="1" applyAlignment="1">
      <alignment horizontal="center" vertical="center" wrapText="1"/>
    </xf>
    <xf numFmtId="0" fontId="19" fillId="16" borderId="34" xfId="0" applyFont="1" applyFill="1" applyBorder="1" applyAlignment="1">
      <alignment horizontal="center" vertical="center" wrapText="1"/>
    </xf>
    <xf numFmtId="0" fontId="31" fillId="16" borderId="4" xfId="0" applyFont="1" applyFill="1" applyBorder="1" applyAlignment="1">
      <alignment horizontal="center"/>
    </xf>
    <xf numFmtId="0" fontId="31" fillId="16" borderId="26" xfId="0" applyFont="1" applyFill="1" applyBorder="1" applyAlignment="1">
      <alignment horizontal="center"/>
    </xf>
    <xf numFmtId="0" fontId="31" fillId="16" borderId="31" xfId="0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 vertical="center"/>
    </xf>
    <xf numFmtId="0" fontId="34" fillId="7" borderId="26" xfId="0" applyFont="1" applyFill="1" applyBorder="1" applyAlignment="1">
      <alignment horizontal="center" vertical="center"/>
    </xf>
    <xf numFmtId="0" fontId="34" fillId="7" borderId="38" xfId="0" applyFont="1" applyFill="1" applyBorder="1" applyAlignment="1">
      <alignment horizontal="center" vertical="center"/>
    </xf>
    <xf numFmtId="0" fontId="32" fillId="7" borderId="32" xfId="0" applyFont="1" applyFill="1" applyBorder="1" applyAlignment="1">
      <alignment horizontal="center" vertical="center"/>
    </xf>
    <xf numFmtId="0" fontId="32" fillId="7" borderId="37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/>
    </xf>
    <xf numFmtId="0" fontId="20" fillId="12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2" fillId="7" borderId="17" xfId="0" applyFont="1" applyFill="1" applyBorder="1" applyAlignment="1">
      <alignment horizontal="center" vertical="center"/>
    </xf>
    <xf numFmtId="0" fontId="32" fillId="7" borderId="39" xfId="0" applyFont="1" applyFill="1" applyBorder="1" applyAlignment="1">
      <alignment horizontal="center" vertical="center"/>
    </xf>
    <xf numFmtId="0" fontId="12" fillId="20" borderId="0" xfId="0" applyFont="1" applyFill="1" applyAlignment="1">
      <alignment horizontal="left" vertical="center" wrapText="1"/>
    </xf>
    <xf numFmtId="0" fontId="32" fillId="6" borderId="8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 patternType="solid">
          <fgColor rgb="FFFF0000"/>
          <bgColor rgb="FFFF0000"/>
        </patternFill>
      </fill>
    </dxf>
    <dxf>
      <fill>
        <patternFill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7C80"/>
      <color rgb="FFB7FFA1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</a:t>
            </a:r>
            <a:r>
              <a:rPr lang="en-IN" baseline="0"/>
              <a:t> % Progress</a:t>
            </a:r>
            <a:endParaRPr lang="en-IN"/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6"/>
          <c:order val="0"/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val>
            <c:numRef>
              <c:f>'Gantt Chart'!$M$97:$M$101</c:f>
              <c:numCache>
                <c:formatCode>0%</c:formatCode>
                <c:ptCount val="5"/>
                <c:pt idx="0">
                  <c:v>1</c:v>
                </c:pt>
                <c:pt idx="1">
                  <c:v>0.49333333333333329</c:v>
                </c:pt>
                <c:pt idx="2">
                  <c:v>0.1933333333333333</c:v>
                </c:pt>
                <c:pt idx="3">
                  <c:v>0.19999999999999998</c:v>
                </c:pt>
                <c:pt idx="4">
                  <c:v>0.65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'Gantt Chart'!$I$97:$I$101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554-4914-B781-BFCD17B63BD9}"/>
            </c:ext>
          </c:extLst>
        </c:ser>
        <c:gapWidth val="100"/>
        <c:overlap val="-24"/>
        <c:axId val="118002048"/>
        <c:axId val="11800358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'Gantt Chart'!$J$97:$J$101</c15:sqref>
                        </c15:formulaRef>
                      </c:ext>
                    </c:extLst>
                  </c:numRef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'Gantt Chart'!$I$97:$I$101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2554-4914-B781-BFCD17B63BD9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'Gantt Chart'!$K$97:$K$101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'Gantt Chart'!$I$97:$I$101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2-2554-4914-B781-BFCD17B63BD9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'Gantt Chart'!$L$97:$L$101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'Gantt Chart'!$I$97:$I$101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2554-4914-B781-BFCD17B63BD9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6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'Gantt Chart'!#REF!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'Gantt Chart'!$I$97:$I$101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4-2554-4914-B781-BFCD17B63BD9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gradFill rotWithShape="1">
                    <a:gsLst>
                      <a:gs pos="0">
                        <a:schemeClr val="accent5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'Gantt Chart'!$N$97:$N$101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'Gantt Chart'!$I$97:$I$101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5-2554-4914-B781-BFCD17B63BD9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gradFill rotWithShape="1">
                    <a:gsLst>
                      <a:gs pos="0">
                        <a:schemeClr val="accent4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'Gantt Chart'!$O$97:$O$101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'Gantt Chart'!$I$97:$I$101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2554-4914-B781-BFCD17B63BD9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gradFill rotWithShape="1">
                    <a:gsLst>
                      <a:gs pos="0">
                        <a:schemeClr val="accent5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'Gantt Chart'!$Q$97:$Q$101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'Gantt Chart'!$I$97:$I$101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2554-4914-B781-BFCD17B63BD9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gradFill rotWithShape="1">
                    <a:gsLst>
                      <a:gs pos="0">
                        <a:schemeClr val="accent4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'Gantt Chart'!$R$97:$R$101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'Gantt Chart'!$I$97:$I$101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2554-4914-B781-BFCD17B63BD9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gradFill rotWithShape="1">
                    <a:gsLst>
                      <a:gs pos="0">
                        <a:schemeClr val="accent6">
                          <a:lumMod val="80000"/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lumMod val="80000"/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lumMod val="8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'Gantt Chart'!$S$97:$S$101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'Gantt Chart'!$I$97:$I$101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2554-4914-B781-BFCD17B63BD9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gradFill rotWithShape="1">
                    <a:gsLst>
                      <a:gs pos="0">
                        <a:schemeClr val="accent5">
                          <a:lumMod val="80000"/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lumMod val="80000"/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lumMod val="8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'Gantt Chart'!$T$97:$T$101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'Gantt Chart'!$I$97:$I$101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2554-4914-B781-BFCD17B63BD9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gradFill rotWithShape="1">
                    <a:gsLst>
                      <a:gs pos="0">
                        <a:schemeClr val="accent4">
                          <a:lumMod val="80000"/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lumMod val="80000"/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lumMod val="8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'Gantt Chart'!$U$97:$U$101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'Gantt Chart'!$I$97:$I$101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2554-4914-B781-BFCD17B63BD9}"/>
                  </c:ext>
                </c:extLst>
              </c15:ser>
            </c15:filteredBarSeries>
          </c:ext>
        </c:extLst>
      </c:barChart>
      <c:catAx>
        <c:axId val="11800204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03584"/>
        <c:crosses val="autoZero"/>
        <c:auto val="1"/>
        <c:lblAlgn val="ctr"/>
        <c:lblOffset val="100"/>
      </c:catAx>
      <c:valAx>
        <c:axId val="1180035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0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61285</xdr:colOff>
      <xdr:row>95</xdr:row>
      <xdr:rowOff>41535</xdr:rowOff>
    </xdr:from>
    <xdr:to>
      <xdr:col>26</xdr:col>
      <xdr:colOff>31751</xdr:colOff>
      <xdr:row>110</xdr:row>
      <xdr:rowOff>56702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105"/>
  <sheetViews>
    <sheetView showGridLines="0" tabSelected="1" zoomScale="85" zoomScaleNormal="85" zoomScaleSheetLayoutView="40" workbookViewId="0">
      <pane xSplit="8" ySplit="4" topLeftCell="W8" activePane="bottomRight" state="frozen"/>
      <selection pane="topRight" activeCell="L1" sqref="L1"/>
      <selection pane="bottomLeft" activeCell="A5" sqref="A5"/>
      <selection pane="bottomRight" activeCell="H17" sqref="H17"/>
    </sheetView>
  </sheetViews>
  <sheetFormatPr defaultRowHeight="15" outlineLevelRow="2"/>
  <cols>
    <col min="1" max="1" width="8.28515625" customWidth="1"/>
    <col min="2" max="2" width="27.42578125" customWidth="1"/>
    <col min="3" max="3" width="14.28515625" bestFit="1" customWidth="1"/>
    <col min="4" max="4" width="0.140625" customWidth="1"/>
    <col min="5" max="5" width="14.5703125" customWidth="1"/>
    <col min="6" max="6" width="13.42578125" bestFit="1" customWidth="1"/>
    <col min="7" max="7" width="23.85546875" hidden="1" customWidth="1"/>
    <col min="8" max="8" width="15.42578125" bestFit="1" customWidth="1"/>
    <col min="9" max="9" width="8.28515625" customWidth="1"/>
    <col min="10" max="10" width="9" customWidth="1"/>
    <col min="11" max="11" width="8.7109375" customWidth="1"/>
    <col min="12" max="12" width="8.28515625" customWidth="1"/>
    <col min="13" max="13" width="8.42578125" customWidth="1"/>
    <col min="14" max="14" width="8.7109375" customWidth="1"/>
    <col min="15" max="15" width="8.28515625" customWidth="1"/>
    <col min="16" max="16" width="9" customWidth="1"/>
    <col min="17" max="17" width="8.28515625" customWidth="1"/>
    <col min="18" max="18" width="7.5703125" customWidth="1"/>
    <col min="19" max="19" width="8.7109375" customWidth="1"/>
    <col min="20" max="20" width="8.42578125" customWidth="1"/>
    <col min="21" max="21" width="8.28515625" customWidth="1"/>
    <col min="22" max="22" width="9" customWidth="1"/>
    <col min="23" max="23" width="8.7109375" customWidth="1"/>
    <col min="24" max="24" width="8.28515625" customWidth="1"/>
    <col min="25" max="25" width="8.5703125" customWidth="1"/>
    <col min="26" max="26" width="8.28515625" customWidth="1"/>
    <col min="27" max="27" width="8.140625" customWidth="1"/>
    <col min="28" max="28" width="8.7109375" customWidth="1"/>
    <col min="29" max="29" width="8.28515625" customWidth="1"/>
    <col min="30" max="30" width="7.42578125" bestFit="1" customWidth="1"/>
    <col min="31" max="31" width="8.7109375" customWidth="1"/>
    <col min="32" max="32" width="9" bestFit="1" customWidth="1"/>
    <col min="33" max="33" width="8.28515625" customWidth="1"/>
    <col min="34" max="34" width="9" customWidth="1"/>
    <col min="35" max="35" width="8.7109375" customWidth="1"/>
    <col min="36" max="36" width="8.28515625" customWidth="1"/>
    <col min="37" max="37" width="8.42578125" customWidth="1"/>
    <col min="38" max="38" width="8.7109375" customWidth="1"/>
    <col min="39" max="39" width="8.28515625" customWidth="1"/>
    <col min="40" max="40" width="9" customWidth="1"/>
    <col min="41" max="41" width="8.28515625" customWidth="1"/>
    <col min="42" max="42" width="7.5703125" customWidth="1"/>
    <col min="43" max="43" width="8.7109375" customWidth="1"/>
    <col min="44" max="44" width="9" bestFit="1" customWidth="1"/>
    <col min="48" max="48" width="35.7109375" bestFit="1" customWidth="1"/>
  </cols>
  <sheetData>
    <row r="1" spans="1:48" ht="27.95" customHeight="1" thickBot="1">
      <c r="A1" s="132" t="s">
        <v>0</v>
      </c>
      <c r="B1" s="133"/>
      <c r="C1" s="133"/>
      <c r="D1" s="133"/>
      <c r="E1" s="133"/>
      <c r="F1" s="133"/>
      <c r="G1" s="133"/>
      <c r="H1" s="133"/>
      <c r="I1" s="117" t="s">
        <v>1</v>
      </c>
      <c r="J1" s="117"/>
      <c r="K1" s="117"/>
      <c r="L1" s="117"/>
      <c r="M1" s="118"/>
      <c r="N1" s="18">
        <f>SUMPRODUCT(M97:U101)/5</f>
        <v>0.5073333333333333</v>
      </c>
      <c r="O1" s="19"/>
    </row>
    <row r="2" spans="1:48" ht="15" customHeight="1">
      <c r="A2" s="7" t="s">
        <v>116</v>
      </c>
      <c r="B2" s="8"/>
      <c r="C2" s="8"/>
      <c r="D2" s="8"/>
      <c r="E2" s="8"/>
      <c r="F2" s="8"/>
      <c r="G2" s="8"/>
      <c r="H2" s="6"/>
      <c r="I2" s="97" t="s">
        <v>108</v>
      </c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</row>
    <row r="3" spans="1:48" ht="12.95" customHeight="1">
      <c r="A3" s="138"/>
      <c r="B3" s="139"/>
      <c r="C3" s="139"/>
      <c r="D3" s="139"/>
      <c r="E3" s="139"/>
      <c r="F3" s="140"/>
      <c r="G3" s="134" t="s">
        <v>114</v>
      </c>
      <c r="H3" s="136" t="s">
        <v>113</v>
      </c>
      <c r="I3" s="100" t="s">
        <v>2</v>
      </c>
      <c r="J3" s="102"/>
      <c r="K3" s="103"/>
      <c r="L3" s="101" t="s">
        <v>3</v>
      </c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3"/>
      <c r="X3" s="95" t="s">
        <v>4</v>
      </c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3" t="s">
        <v>5</v>
      </c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</row>
    <row r="4" spans="1:48" ht="30.75" customHeight="1">
      <c r="A4" s="30" t="s">
        <v>110</v>
      </c>
      <c r="B4" s="30" t="s">
        <v>6</v>
      </c>
      <c r="C4" s="30" t="s">
        <v>7</v>
      </c>
      <c r="D4" s="30" t="s">
        <v>121</v>
      </c>
      <c r="E4" s="30" t="s">
        <v>8</v>
      </c>
      <c r="F4" s="68" t="s">
        <v>117</v>
      </c>
      <c r="G4" s="135"/>
      <c r="H4" s="137"/>
      <c r="I4" s="52">
        <f>DATE(2024,10,1)</f>
        <v>45566</v>
      </c>
      <c r="J4" s="53">
        <f>EDATE(I4,1)</f>
        <v>45597</v>
      </c>
      <c r="K4" s="53">
        <f>EDATE(J4,1)</f>
        <v>45627</v>
      </c>
      <c r="L4" s="54">
        <f t="shared" ref="L4:AQ4" si="0">EDATE(K4,1)</f>
        <v>45658</v>
      </c>
      <c r="M4" s="54">
        <f t="shared" si="0"/>
        <v>45689</v>
      </c>
      <c r="N4" s="54">
        <f t="shared" si="0"/>
        <v>45717</v>
      </c>
      <c r="O4" s="54">
        <f t="shared" si="0"/>
        <v>45748</v>
      </c>
      <c r="P4" s="54">
        <f t="shared" si="0"/>
        <v>45778</v>
      </c>
      <c r="Q4" s="54">
        <f t="shared" si="0"/>
        <v>45809</v>
      </c>
      <c r="R4" s="54">
        <f t="shared" si="0"/>
        <v>45839</v>
      </c>
      <c r="S4" s="54">
        <f t="shared" si="0"/>
        <v>45870</v>
      </c>
      <c r="T4" s="54">
        <f>EDATE(S4,1)</f>
        <v>45901</v>
      </c>
      <c r="U4" s="54">
        <f t="shared" si="0"/>
        <v>45931</v>
      </c>
      <c r="V4" s="54">
        <f t="shared" si="0"/>
        <v>45962</v>
      </c>
      <c r="W4" s="54">
        <f t="shared" si="0"/>
        <v>45992</v>
      </c>
      <c r="X4" s="55">
        <f>EDATE(W4,1)</f>
        <v>46023</v>
      </c>
      <c r="Y4" s="55">
        <f t="shared" si="0"/>
        <v>46054</v>
      </c>
      <c r="Z4" s="55">
        <f t="shared" si="0"/>
        <v>46082</v>
      </c>
      <c r="AA4" s="55">
        <f t="shared" si="0"/>
        <v>46113</v>
      </c>
      <c r="AB4" s="55">
        <f t="shared" si="0"/>
        <v>46143</v>
      </c>
      <c r="AC4" s="57">
        <f t="shared" si="0"/>
        <v>46174</v>
      </c>
      <c r="AD4" s="55">
        <f t="shared" si="0"/>
        <v>46204</v>
      </c>
      <c r="AE4" s="55">
        <f t="shared" si="0"/>
        <v>46235</v>
      </c>
      <c r="AF4" s="55">
        <f t="shared" si="0"/>
        <v>46266</v>
      </c>
      <c r="AG4" s="55">
        <f t="shared" si="0"/>
        <v>46296</v>
      </c>
      <c r="AH4" s="55">
        <f t="shared" si="0"/>
        <v>46327</v>
      </c>
      <c r="AI4" s="55">
        <f t="shared" si="0"/>
        <v>46357</v>
      </c>
      <c r="AJ4" s="56">
        <f t="shared" si="0"/>
        <v>46388</v>
      </c>
      <c r="AK4" s="56">
        <f t="shared" si="0"/>
        <v>46419</v>
      </c>
      <c r="AL4" s="56">
        <f t="shared" si="0"/>
        <v>46447</v>
      </c>
      <c r="AM4" s="56">
        <f t="shared" si="0"/>
        <v>46478</v>
      </c>
      <c r="AN4" s="56">
        <f t="shared" si="0"/>
        <v>46508</v>
      </c>
      <c r="AO4" s="56">
        <f t="shared" si="0"/>
        <v>46539</v>
      </c>
      <c r="AP4" s="56">
        <f t="shared" si="0"/>
        <v>46569</v>
      </c>
      <c r="AQ4" s="56">
        <f t="shared" si="0"/>
        <v>46600</v>
      </c>
      <c r="AR4" s="56">
        <f t="shared" ref="AR4:AU4" si="1">EDATE(AQ4,1)</f>
        <v>46631</v>
      </c>
      <c r="AS4" s="56">
        <f t="shared" si="1"/>
        <v>46661</v>
      </c>
      <c r="AT4" s="56">
        <f t="shared" si="1"/>
        <v>46692</v>
      </c>
      <c r="AU4" s="56">
        <f t="shared" si="1"/>
        <v>46722</v>
      </c>
      <c r="AV4" s="136" t="s">
        <v>125</v>
      </c>
    </row>
    <row r="5" spans="1:48" ht="15" hidden="1" customHeight="1" outlineLevel="1">
      <c r="A5" s="58">
        <v>1</v>
      </c>
      <c r="B5" s="59" t="s">
        <v>99</v>
      </c>
      <c r="C5" s="60" t="s">
        <v>102</v>
      </c>
      <c r="D5" s="69" t="s">
        <v>13</v>
      </c>
      <c r="E5" s="69"/>
      <c r="F5" s="61">
        <v>0</v>
      </c>
      <c r="G5" s="61"/>
      <c r="H5" s="70">
        <v>1</v>
      </c>
      <c r="AV5" s="137"/>
    </row>
    <row r="6" spans="1:48" ht="15" hidden="1" customHeight="1" outlineLevel="1">
      <c r="A6" s="58">
        <v>2</v>
      </c>
      <c r="B6" s="59" t="s">
        <v>100</v>
      </c>
      <c r="C6" s="60" t="s">
        <v>102</v>
      </c>
      <c r="D6" s="69" t="s">
        <v>13</v>
      </c>
      <c r="E6" s="69"/>
      <c r="F6" s="61">
        <v>0</v>
      </c>
      <c r="G6" s="61"/>
      <c r="H6" s="70">
        <v>1</v>
      </c>
      <c r="AA6" s="3"/>
    </row>
    <row r="7" spans="1:48" ht="15" hidden="1" customHeight="1" outlineLevel="1">
      <c r="A7" s="58">
        <v>3</v>
      </c>
      <c r="B7" s="59" t="s">
        <v>101</v>
      </c>
      <c r="C7" s="60" t="s">
        <v>102</v>
      </c>
      <c r="D7" s="69" t="s">
        <v>13</v>
      </c>
      <c r="E7" s="69"/>
      <c r="F7" s="61">
        <v>0</v>
      </c>
      <c r="G7" s="61"/>
      <c r="H7" s="70">
        <v>1</v>
      </c>
      <c r="K7" s="10"/>
      <c r="AM7" s="9"/>
    </row>
    <row r="8" spans="1:48" ht="15" customHeight="1" collapsed="1">
      <c r="A8" s="154" t="s">
        <v>9</v>
      </c>
      <c r="B8" s="154"/>
      <c r="C8" s="154"/>
      <c r="D8" s="154"/>
      <c r="E8" s="73"/>
      <c r="F8" s="59"/>
      <c r="G8" s="59"/>
      <c r="H8" s="71">
        <f>SUMPRODUCT(H9:H13/5)</f>
        <v>1</v>
      </c>
      <c r="I8" s="3"/>
      <c r="J8" s="3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V8" s="114"/>
    </row>
    <row r="9" spans="1:48" ht="15" hidden="1" customHeight="1" outlineLevel="1">
      <c r="A9" s="61" t="s">
        <v>10</v>
      </c>
      <c r="B9" s="64" t="s">
        <v>11</v>
      </c>
      <c r="C9" s="65" t="s">
        <v>12</v>
      </c>
      <c r="D9" s="66" t="s">
        <v>13</v>
      </c>
      <c r="E9" s="66"/>
      <c r="F9" s="61">
        <v>0</v>
      </c>
      <c r="G9" s="61"/>
      <c r="H9" s="70">
        <v>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8" ht="15" hidden="1" customHeight="1" outlineLevel="1">
      <c r="A10" s="61" t="s">
        <v>14</v>
      </c>
      <c r="B10" s="64" t="s">
        <v>15</v>
      </c>
      <c r="C10" s="65" t="s">
        <v>16</v>
      </c>
      <c r="D10" s="66" t="s">
        <v>13</v>
      </c>
      <c r="E10" s="66"/>
      <c r="F10" s="61">
        <v>0</v>
      </c>
      <c r="G10" s="61"/>
      <c r="H10" s="70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8" ht="15" hidden="1" customHeight="1" outlineLevel="1">
      <c r="A11" s="61" t="s">
        <v>17</v>
      </c>
      <c r="B11" s="64" t="s">
        <v>18</v>
      </c>
      <c r="C11" s="65" t="s">
        <v>19</v>
      </c>
      <c r="D11" s="66" t="s">
        <v>13</v>
      </c>
      <c r="E11" s="66"/>
      <c r="F11" s="61">
        <v>0</v>
      </c>
      <c r="G11" s="61"/>
      <c r="H11" s="70">
        <v>1</v>
      </c>
      <c r="I11" s="3"/>
      <c r="J11" s="3"/>
      <c r="K11" s="3"/>
      <c r="L11" s="3"/>
      <c r="M11" s="3"/>
      <c r="N11" s="3"/>
      <c r="O11" s="3"/>
      <c r="P11" s="3"/>
      <c r="Q11" s="1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8" ht="15" hidden="1" customHeight="1" outlineLevel="1">
      <c r="A12" s="61" t="s">
        <v>20</v>
      </c>
      <c r="B12" s="64" t="s">
        <v>111</v>
      </c>
      <c r="C12" s="65" t="s">
        <v>19</v>
      </c>
      <c r="D12" s="66" t="s">
        <v>13</v>
      </c>
      <c r="E12" s="66"/>
      <c r="F12" s="61">
        <v>0</v>
      </c>
      <c r="G12" s="61"/>
      <c r="H12" s="70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8" ht="15" hidden="1" customHeight="1" outlineLevel="1">
      <c r="A13" s="61" t="s">
        <v>21</v>
      </c>
      <c r="B13" s="64" t="s">
        <v>22</v>
      </c>
      <c r="C13" s="65" t="s">
        <v>23</v>
      </c>
      <c r="D13" s="66" t="s">
        <v>13</v>
      </c>
      <c r="E13" s="66"/>
      <c r="F13" s="61">
        <v>0</v>
      </c>
      <c r="G13" s="61"/>
      <c r="H13" s="70">
        <v>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8" ht="15" customHeight="1" collapsed="1">
      <c r="A14" s="144" t="s">
        <v>120</v>
      </c>
      <c r="B14" s="145"/>
      <c r="C14" s="145"/>
      <c r="D14" s="146"/>
      <c r="E14" s="78"/>
      <c r="F14" s="62" t="str">
        <f>ROUNDUP((E17-C15)/30,0) &amp;"MONTHS"</f>
        <v>10MONTHS</v>
      </c>
      <c r="G14" s="24">
        <f>SUM(AC4-C15)/30</f>
        <v>3.5333333333333332</v>
      </c>
      <c r="H14" s="63">
        <f t="array" ref="H14">SUMPRODUCT(H15:H20/3)</f>
        <v>0.6</v>
      </c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11"/>
      <c r="AV14" s="112"/>
    </row>
    <row r="15" spans="1:48" ht="15" customHeight="1" outlineLevel="2">
      <c r="A15" s="35" t="s">
        <v>24</v>
      </c>
      <c r="B15" s="32" t="s">
        <v>11</v>
      </c>
      <c r="C15" s="36">
        <v>46068</v>
      </c>
      <c r="D15" s="81">
        <v>46157</v>
      </c>
      <c r="E15" s="74">
        <v>46295</v>
      </c>
      <c r="F15" s="35">
        <f t="shared" ref="F15:F20" si="2">SUM(E15-C15)</f>
        <v>227</v>
      </c>
      <c r="G15" s="24" t="s">
        <v>115</v>
      </c>
      <c r="H15" s="21">
        <v>0.8</v>
      </c>
      <c r="I15" s="108" t="str">
        <f>IF(AND(I$4&gt;=$C15,I$4&lt;=$E15),$H15,"")</f>
        <v/>
      </c>
      <c r="J15" s="108" t="str">
        <f t="shared" ref="J15:AU20" si="3">IF(AND(J$4&gt;=$C15,J$4&lt;=$E15),$H15,"")</f>
        <v/>
      </c>
      <c r="K15" s="108" t="str">
        <f t="shared" si="3"/>
        <v/>
      </c>
      <c r="L15" s="108" t="str">
        <f t="shared" si="3"/>
        <v/>
      </c>
      <c r="M15" s="108" t="str">
        <f t="shared" si="3"/>
        <v/>
      </c>
      <c r="N15" s="108" t="str">
        <f t="shared" si="3"/>
        <v/>
      </c>
      <c r="O15" s="108" t="str">
        <f t="shared" si="3"/>
        <v/>
      </c>
      <c r="P15" s="108" t="str">
        <f t="shared" si="3"/>
        <v/>
      </c>
      <c r="Q15" s="108" t="str">
        <f t="shared" si="3"/>
        <v/>
      </c>
      <c r="R15" s="108" t="str">
        <f t="shared" si="3"/>
        <v/>
      </c>
      <c r="S15" s="108" t="str">
        <f t="shared" si="3"/>
        <v/>
      </c>
      <c r="T15" s="108" t="str">
        <f t="shared" si="3"/>
        <v/>
      </c>
      <c r="U15" s="108" t="str">
        <f t="shared" si="3"/>
        <v/>
      </c>
      <c r="V15" s="108" t="str">
        <f t="shared" si="3"/>
        <v/>
      </c>
      <c r="W15" s="108" t="str">
        <f t="shared" si="3"/>
        <v/>
      </c>
      <c r="X15" s="108" t="str">
        <f t="shared" si="3"/>
        <v/>
      </c>
      <c r="Y15" s="122">
        <f>IF(AND(Y$4&lt;=$C15,Y$4&lt;=$E15),$H15,"")</f>
        <v>0.8</v>
      </c>
      <c r="Z15" s="123"/>
      <c r="AA15" s="123"/>
      <c r="AB15" s="123"/>
      <c r="AC15" s="123"/>
      <c r="AD15" s="123"/>
      <c r="AE15" s="124"/>
      <c r="AF15" s="108">
        <f t="shared" si="3"/>
        <v>0.8</v>
      </c>
      <c r="AG15" s="108" t="str">
        <f t="shared" si="3"/>
        <v/>
      </c>
      <c r="AH15" s="108" t="str">
        <f t="shared" si="3"/>
        <v/>
      </c>
      <c r="AI15" s="108" t="str">
        <f t="shared" si="3"/>
        <v/>
      </c>
      <c r="AJ15" s="108" t="str">
        <f t="shared" si="3"/>
        <v/>
      </c>
      <c r="AK15" s="108" t="str">
        <f t="shared" si="3"/>
        <v/>
      </c>
      <c r="AL15" s="108" t="str">
        <f t="shared" si="3"/>
        <v/>
      </c>
      <c r="AM15" s="108" t="str">
        <f t="shared" si="3"/>
        <v/>
      </c>
      <c r="AN15" s="108" t="str">
        <f t="shared" si="3"/>
        <v/>
      </c>
      <c r="AO15" s="108" t="str">
        <f t="shared" si="3"/>
        <v/>
      </c>
      <c r="AP15" s="108" t="str">
        <f t="shared" si="3"/>
        <v/>
      </c>
      <c r="AQ15" s="108" t="str">
        <f t="shared" si="3"/>
        <v/>
      </c>
      <c r="AR15" s="108" t="str">
        <f t="shared" si="3"/>
        <v/>
      </c>
      <c r="AS15" s="108" t="str">
        <f t="shared" si="3"/>
        <v/>
      </c>
      <c r="AT15" s="108" t="str">
        <f t="shared" si="3"/>
        <v/>
      </c>
      <c r="AU15" s="111" t="str">
        <f t="shared" si="3"/>
        <v/>
      </c>
      <c r="AV15" s="112"/>
    </row>
    <row r="16" spans="1:48" ht="15" customHeight="1" outlineLevel="2">
      <c r="A16" s="31" t="s">
        <v>25</v>
      </c>
      <c r="B16" s="32" t="s">
        <v>122</v>
      </c>
      <c r="C16" s="77">
        <v>46188</v>
      </c>
      <c r="D16" s="81">
        <v>46326</v>
      </c>
      <c r="E16" s="77">
        <v>46198</v>
      </c>
      <c r="F16" s="35">
        <f t="shared" si="2"/>
        <v>10</v>
      </c>
      <c r="G16" s="24"/>
      <c r="H16" s="22">
        <v>1</v>
      </c>
      <c r="I16" s="108" t="str">
        <f t="shared" ref="I16:X36" si="4">IF(AND(I$4&gt;=$C16,I$4&lt;=$E16),$H16,"")</f>
        <v/>
      </c>
      <c r="J16" s="108" t="str">
        <f t="shared" si="3"/>
        <v/>
      </c>
      <c r="K16" s="108" t="str">
        <f t="shared" si="3"/>
        <v/>
      </c>
      <c r="L16" s="108" t="str">
        <f t="shared" si="3"/>
        <v/>
      </c>
      <c r="M16" s="108" t="str">
        <f t="shared" si="3"/>
        <v/>
      </c>
      <c r="N16" s="108" t="str">
        <f t="shared" si="3"/>
        <v/>
      </c>
      <c r="O16" s="108" t="str">
        <f t="shared" si="3"/>
        <v/>
      </c>
      <c r="P16" s="108" t="str">
        <f t="shared" si="3"/>
        <v/>
      </c>
      <c r="Q16" s="108" t="str">
        <f t="shared" si="3"/>
        <v/>
      </c>
      <c r="R16" s="108" t="str">
        <f t="shared" si="3"/>
        <v/>
      </c>
      <c r="S16" s="108" t="str">
        <f t="shared" si="3"/>
        <v/>
      </c>
      <c r="T16" s="108" t="str">
        <f t="shared" si="3"/>
        <v/>
      </c>
      <c r="U16" s="108" t="str">
        <f t="shared" si="3"/>
        <v/>
      </c>
      <c r="V16" s="108" t="str">
        <f t="shared" si="3"/>
        <v/>
      </c>
      <c r="W16" s="108" t="str">
        <f t="shared" si="3"/>
        <v/>
      </c>
      <c r="X16" s="108" t="str">
        <f t="shared" ref="X16:AB16" si="5">IF(AND(X$4&gt;=$C16,X$4&lt;=$E16),$H16,"")</f>
        <v/>
      </c>
      <c r="Y16" s="108" t="str">
        <f t="shared" si="5"/>
        <v/>
      </c>
      <c r="Z16" s="108" t="str">
        <f>IF(AND(Z$4&gt;=$C16,Z$4&lt;=$E16),$H16,"")</f>
        <v/>
      </c>
      <c r="AA16" s="108" t="str">
        <f t="shared" si="5"/>
        <v/>
      </c>
      <c r="AB16" s="108" t="str">
        <f t="shared" si="5"/>
        <v/>
      </c>
      <c r="AC16" s="108">
        <f>IF(AND(AC$4&lt;=$C16,AC$4&lt;=$E16),$H16,"")</f>
        <v>1</v>
      </c>
      <c r="AD16" s="108"/>
      <c r="AE16" s="108"/>
      <c r="AF16" s="108"/>
      <c r="AG16" s="108"/>
      <c r="AH16" s="108"/>
      <c r="AI16" s="108"/>
      <c r="AJ16" s="108" t="str">
        <f t="shared" si="3"/>
        <v/>
      </c>
      <c r="AK16" s="108" t="str">
        <f t="shared" si="3"/>
        <v/>
      </c>
      <c r="AL16" s="108" t="str">
        <f t="shared" si="3"/>
        <v/>
      </c>
      <c r="AM16" s="108" t="str">
        <f t="shared" si="3"/>
        <v/>
      </c>
      <c r="AN16" s="108" t="str">
        <f t="shared" si="3"/>
        <v/>
      </c>
      <c r="AO16" s="108" t="str">
        <f t="shared" si="3"/>
        <v/>
      </c>
      <c r="AP16" s="108" t="str">
        <f t="shared" si="3"/>
        <v/>
      </c>
      <c r="AQ16" s="108" t="str">
        <f t="shared" si="3"/>
        <v/>
      </c>
      <c r="AR16" s="108" t="str">
        <f t="shared" si="3"/>
        <v/>
      </c>
      <c r="AS16" s="108" t="str">
        <f t="shared" si="3"/>
        <v/>
      </c>
      <c r="AT16" s="108" t="str">
        <f t="shared" si="3"/>
        <v/>
      </c>
      <c r="AU16" s="111" t="str">
        <f t="shared" si="3"/>
        <v/>
      </c>
      <c r="AV16" s="112"/>
    </row>
    <row r="17" spans="1:48" ht="15" customHeight="1" outlineLevel="2">
      <c r="A17" s="31" t="s">
        <v>26</v>
      </c>
      <c r="B17" s="32" t="s">
        <v>18</v>
      </c>
      <c r="C17" s="36">
        <v>46189</v>
      </c>
      <c r="D17" s="81">
        <v>46326</v>
      </c>
      <c r="E17" s="74">
        <v>46356</v>
      </c>
      <c r="F17" s="35">
        <f t="shared" si="2"/>
        <v>167</v>
      </c>
      <c r="G17" s="24"/>
      <c r="H17" s="23">
        <v>0</v>
      </c>
      <c r="I17" s="108" t="str">
        <f t="shared" si="4"/>
        <v/>
      </c>
      <c r="J17" s="108" t="str">
        <f t="shared" si="3"/>
        <v/>
      </c>
      <c r="K17" s="108" t="str">
        <f t="shared" si="3"/>
        <v/>
      </c>
      <c r="L17" s="108" t="str">
        <f t="shared" si="3"/>
        <v/>
      </c>
      <c r="M17" s="108" t="str">
        <f t="shared" si="3"/>
        <v/>
      </c>
      <c r="N17" s="108" t="str">
        <f t="shared" si="3"/>
        <v/>
      </c>
      <c r="O17" s="108" t="str">
        <f t="shared" si="3"/>
        <v/>
      </c>
      <c r="P17" s="108" t="str">
        <f t="shared" si="3"/>
        <v/>
      </c>
      <c r="Q17" s="108" t="str">
        <f t="shared" si="3"/>
        <v/>
      </c>
      <c r="R17" s="108" t="str">
        <f t="shared" si="3"/>
        <v/>
      </c>
      <c r="S17" s="108" t="str">
        <f t="shared" si="3"/>
        <v/>
      </c>
      <c r="T17" s="108" t="str">
        <f t="shared" si="3"/>
        <v/>
      </c>
      <c r="U17" s="108" t="str">
        <f t="shared" si="3"/>
        <v/>
      </c>
      <c r="V17" s="108" t="str">
        <f t="shared" si="3"/>
        <v/>
      </c>
      <c r="W17" s="108" t="str">
        <f t="shared" si="3"/>
        <v/>
      </c>
      <c r="X17" s="108" t="str">
        <f t="shared" si="3"/>
        <v/>
      </c>
      <c r="Y17" s="108" t="str">
        <f t="shared" si="3"/>
        <v/>
      </c>
      <c r="Z17" s="108" t="str">
        <f t="shared" si="3"/>
        <v/>
      </c>
      <c r="AA17" s="108" t="str">
        <f t="shared" si="3"/>
        <v/>
      </c>
      <c r="AB17" s="108" t="str">
        <f t="shared" si="3"/>
        <v/>
      </c>
      <c r="AC17" s="108" t="str">
        <f t="shared" si="3"/>
        <v/>
      </c>
      <c r="AD17" s="122">
        <f t="shared" si="3"/>
        <v>0</v>
      </c>
      <c r="AE17" s="123"/>
      <c r="AF17" s="123"/>
      <c r="AG17" s="123"/>
      <c r="AH17" s="124"/>
      <c r="AI17" s="108" t="str">
        <f t="shared" si="3"/>
        <v/>
      </c>
      <c r="AJ17" s="108" t="str">
        <f t="shared" si="3"/>
        <v/>
      </c>
      <c r="AK17" s="108" t="str">
        <f t="shared" si="3"/>
        <v/>
      </c>
      <c r="AL17" s="108" t="str">
        <f t="shared" si="3"/>
        <v/>
      </c>
      <c r="AM17" s="108" t="str">
        <f t="shared" si="3"/>
        <v/>
      </c>
      <c r="AN17" s="108" t="str">
        <f t="shared" si="3"/>
        <v/>
      </c>
      <c r="AO17" s="108" t="str">
        <f t="shared" si="3"/>
        <v/>
      </c>
      <c r="AP17" s="108" t="str">
        <f t="shared" si="3"/>
        <v/>
      </c>
      <c r="AQ17" s="108" t="str">
        <f t="shared" si="3"/>
        <v/>
      </c>
      <c r="AR17" s="108" t="str">
        <f t="shared" si="3"/>
        <v/>
      </c>
      <c r="AS17" s="108" t="str">
        <f t="shared" si="3"/>
        <v/>
      </c>
      <c r="AT17" s="108" t="str">
        <f t="shared" si="3"/>
        <v/>
      </c>
      <c r="AU17" s="111" t="str">
        <f t="shared" si="3"/>
        <v/>
      </c>
      <c r="AV17" s="112" t="s">
        <v>127</v>
      </c>
    </row>
    <row r="18" spans="1:48" ht="15" customHeight="1" outlineLevel="2">
      <c r="A18" s="31"/>
      <c r="B18" s="32" t="s">
        <v>123</v>
      </c>
      <c r="C18" s="36">
        <v>46339</v>
      </c>
      <c r="D18" s="81"/>
      <c r="E18" s="74">
        <v>46356</v>
      </c>
      <c r="F18" s="35">
        <f t="shared" si="2"/>
        <v>17</v>
      </c>
      <c r="G18" s="24"/>
      <c r="H18" s="23">
        <v>0</v>
      </c>
      <c r="I18" s="108" t="str">
        <f t="shared" si="4"/>
        <v/>
      </c>
      <c r="J18" s="108" t="str">
        <f t="shared" si="3"/>
        <v/>
      </c>
      <c r="K18" s="108" t="str">
        <f t="shared" si="3"/>
        <v/>
      </c>
      <c r="L18" s="108" t="str">
        <f t="shared" si="3"/>
        <v/>
      </c>
      <c r="M18" s="108" t="str">
        <f t="shared" si="3"/>
        <v/>
      </c>
      <c r="N18" s="108" t="str">
        <f t="shared" si="3"/>
        <v/>
      </c>
      <c r="O18" s="108" t="str">
        <f t="shared" si="3"/>
        <v/>
      </c>
      <c r="P18" s="108" t="str">
        <f t="shared" si="3"/>
        <v/>
      </c>
      <c r="Q18" s="108" t="str">
        <f t="shared" si="3"/>
        <v/>
      </c>
      <c r="R18" s="108" t="str">
        <f t="shared" si="3"/>
        <v/>
      </c>
      <c r="S18" s="108" t="str">
        <f t="shared" si="3"/>
        <v/>
      </c>
      <c r="T18" s="108" t="str">
        <f t="shared" si="3"/>
        <v/>
      </c>
      <c r="U18" s="108" t="str">
        <f t="shared" si="3"/>
        <v/>
      </c>
      <c r="V18" s="108" t="str">
        <f t="shared" si="3"/>
        <v/>
      </c>
      <c r="W18" s="108" t="str">
        <f t="shared" si="3"/>
        <v/>
      </c>
      <c r="X18" s="108" t="str">
        <f t="shared" si="3"/>
        <v/>
      </c>
      <c r="Y18" s="108" t="str">
        <f t="shared" si="3"/>
        <v/>
      </c>
      <c r="Z18" s="108" t="str">
        <f t="shared" si="3"/>
        <v/>
      </c>
      <c r="AA18" s="108" t="str">
        <f t="shared" si="3"/>
        <v/>
      </c>
      <c r="AB18" s="108" t="str">
        <f t="shared" si="3"/>
        <v/>
      </c>
      <c r="AC18" s="108" t="str">
        <f t="shared" si="3"/>
        <v/>
      </c>
      <c r="AD18" s="108" t="str">
        <f t="shared" si="3"/>
        <v/>
      </c>
      <c r="AE18" s="108" t="str">
        <f t="shared" si="3"/>
        <v/>
      </c>
      <c r="AF18" s="108" t="str">
        <f t="shared" si="3"/>
        <v/>
      </c>
      <c r="AG18" s="108" t="str">
        <f t="shared" si="3"/>
        <v/>
      </c>
      <c r="AH18" s="108">
        <v>0</v>
      </c>
      <c r="AI18" s="108"/>
      <c r="AJ18" s="110"/>
      <c r="AK18" s="110"/>
      <c r="AL18" s="110"/>
      <c r="AM18" s="108" t="str">
        <f t="shared" si="3"/>
        <v/>
      </c>
      <c r="AN18" s="108" t="str">
        <f t="shared" si="3"/>
        <v/>
      </c>
      <c r="AO18" s="108" t="str">
        <f t="shared" si="3"/>
        <v/>
      </c>
      <c r="AP18" s="108" t="str">
        <f t="shared" si="3"/>
        <v/>
      </c>
      <c r="AQ18" s="108" t="str">
        <f t="shared" si="3"/>
        <v/>
      </c>
      <c r="AR18" s="108" t="str">
        <f t="shared" si="3"/>
        <v/>
      </c>
      <c r="AS18" s="108" t="str">
        <f t="shared" si="3"/>
        <v/>
      </c>
      <c r="AT18" s="108" t="str">
        <f t="shared" si="3"/>
        <v/>
      </c>
      <c r="AU18" s="111" t="str">
        <f t="shared" si="3"/>
        <v/>
      </c>
      <c r="AV18" s="112"/>
    </row>
    <row r="19" spans="1:48" ht="15" customHeight="1" outlineLevel="2">
      <c r="A19" s="31" t="s">
        <v>27</v>
      </c>
      <c r="B19" s="32" t="s">
        <v>111</v>
      </c>
      <c r="C19" s="74">
        <v>46325</v>
      </c>
      <c r="D19" s="81">
        <v>46310</v>
      </c>
      <c r="E19" s="77">
        <v>46356</v>
      </c>
      <c r="F19" s="35">
        <f t="shared" si="2"/>
        <v>31</v>
      </c>
      <c r="G19" s="24"/>
      <c r="H19" s="23">
        <v>0</v>
      </c>
      <c r="I19" s="108" t="str">
        <f t="shared" si="4"/>
        <v/>
      </c>
      <c r="J19" s="108" t="str">
        <f t="shared" si="3"/>
        <v/>
      </c>
      <c r="K19" s="108" t="str">
        <f t="shared" si="3"/>
        <v/>
      </c>
      <c r="L19" s="108" t="str">
        <f t="shared" si="3"/>
        <v/>
      </c>
      <c r="M19" s="108" t="str">
        <f t="shared" si="3"/>
        <v/>
      </c>
      <c r="N19" s="108" t="str">
        <f t="shared" si="3"/>
        <v/>
      </c>
      <c r="O19" s="108" t="str">
        <f t="shared" si="3"/>
        <v/>
      </c>
      <c r="P19" s="108" t="str">
        <f t="shared" si="3"/>
        <v/>
      </c>
      <c r="Q19" s="108" t="str">
        <f t="shared" si="3"/>
        <v/>
      </c>
      <c r="R19" s="108" t="str">
        <f t="shared" si="3"/>
        <v/>
      </c>
      <c r="S19" s="108" t="str">
        <f t="shared" si="3"/>
        <v/>
      </c>
      <c r="T19" s="108" t="str">
        <f t="shared" si="3"/>
        <v/>
      </c>
      <c r="U19" s="108" t="str">
        <f t="shared" si="3"/>
        <v/>
      </c>
      <c r="V19" s="108" t="str">
        <f t="shared" si="3"/>
        <v/>
      </c>
      <c r="W19" s="108" t="str">
        <f t="shared" si="3"/>
        <v/>
      </c>
      <c r="X19" s="108" t="str">
        <f t="shared" si="3"/>
        <v/>
      </c>
      <c r="Y19" s="108" t="str">
        <f t="shared" si="3"/>
        <v/>
      </c>
      <c r="Z19" s="108" t="str">
        <f t="shared" si="3"/>
        <v/>
      </c>
      <c r="AA19" s="108" t="str">
        <f t="shared" si="3"/>
        <v/>
      </c>
      <c r="AB19" s="108" t="str">
        <f t="shared" si="3"/>
        <v/>
      </c>
      <c r="AC19" s="108" t="str">
        <f t="shared" si="3"/>
        <v/>
      </c>
      <c r="AD19" s="108" t="str">
        <f t="shared" si="3"/>
        <v/>
      </c>
      <c r="AE19" s="108" t="str">
        <f t="shared" si="3"/>
        <v/>
      </c>
      <c r="AF19" s="108" t="str">
        <f t="shared" si="3"/>
        <v/>
      </c>
      <c r="AG19" s="122">
        <v>0</v>
      </c>
      <c r="AH19" s="124"/>
      <c r="AI19" s="108" t="str">
        <f t="shared" si="3"/>
        <v/>
      </c>
      <c r="AJ19" s="108" t="str">
        <f t="shared" si="3"/>
        <v/>
      </c>
      <c r="AK19" s="108" t="str">
        <f t="shared" si="3"/>
        <v/>
      </c>
      <c r="AL19" s="108" t="str">
        <f t="shared" si="3"/>
        <v/>
      </c>
      <c r="AM19" s="108" t="str">
        <f t="shared" si="3"/>
        <v/>
      </c>
      <c r="AN19" s="108" t="str">
        <f t="shared" si="3"/>
        <v/>
      </c>
      <c r="AO19" s="108" t="str">
        <f t="shared" si="3"/>
        <v/>
      </c>
      <c r="AP19" s="108" t="str">
        <f t="shared" si="3"/>
        <v/>
      </c>
      <c r="AQ19" s="108" t="str">
        <f t="shared" si="3"/>
        <v/>
      </c>
      <c r="AR19" s="108" t="str">
        <f t="shared" si="3"/>
        <v/>
      </c>
      <c r="AS19" s="108" t="str">
        <f t="shared" si="3"/>
        <v/>
      </c>
      <c r="AT19" s="108" t="str">
        <f t="shared" si="3"/>
        <v/>
      </c>
      <c r="AU19" s="111" t="str">
        <f t="shared" si="3"/>
        <v/>
      </c>
      <c r="AV19" s="112"/>
    </row>
    <row r="20" spans="1:48" ht="15" customHeight="1" outlineLevel="2">
      <c r="A20" s="31" t="s">
        <v>28</v>
      </c>
      <c r="B20" s="32" t="s">
        <v>22</v>
      </c>
      <c r="C20" s="36">
        <v>46341</v>
      </c>
      <c r="D20" s="81">
        <v>46326</v>
      </c>
      <c r="E20" s="75">
        <v>46402</v>
      </c>
      <c r="F20" s="35">
        <f t="shared" si="2"/>
        <v>61</v>
      </c>
      <c r="G20" s="25"/>
      <c r="H20" s="23">
        <v>0</v>
      </c>
      <c r="I20" s="108" t="str">
        <f t="shared" si="4"/>
        <v/>
      </c>
      <c r="J20" s="108" t="str">
        <f t="shared" si="3"/>
        <v/>
      </c>
      <c r="K20" s="108" t="str">
        <f t="shared" si="3"/>
        <v/>
      </c>
      <c r="L20" s="108" t="str">
        <f t="shared" si="3"/>
        <v/>
      </c>
      <c r="M20" s="108" t="str">
        <f t="shared" si="3"/>
        <v/>
      </c>
      <c r="N20" s="108" t="str">
        <f t="shared" si="3"/>
        <v/>
      </c>
      <c r="O20" s="108" t="str">
        <f t="shared" si="3"/>
        <v/>
      </c>
      <c r="P20" s="108" t="str">
        <f t="shared" si="3"/>
        <v/>
      </c>
      <c r="Q20" s="108" t="str">
        <f t="shared" si="3"/>
        <v/>
      </c>
      <c r="R20" s="108" t="str">
        <f t="shared" si="3"/>
        <v/>
      </c>
      <c r="S20" s="108" t="str">
        <f t="shared" si="3"/>
        <v/>
      </c>
      <c r="T20" s="108" t="str">
        <f t="shared" si="3"/>
        <v/>
      </c>
      <c r="U20" s="108" t="str">
        <f t="shared" si="3"/>
        <v/>
      </c>
      <c r="V20" s="108" t="str">
        <f t="shared" si="3"/>
        <v/>
      </c>
      <c r="W20" s="108" t="str">
        <f t="shared" si="3"/>
        <v/>
      </c>
      <c r="X20" s="108" t="str">
        <f t="shared" si="3"/>
        <v/>
      </c>
      <c r="Y20" s="108" t="str">
        <f t="shared" si="3"/>
        <v/>
      </c>
      <c r="Z20" s="108" t="str">
        <f t="shared" si="3"/>
        <v/>
      </c>
      <c r="AA20" s="108" t="str">
        <f t="shared" si="3"/>
        <v/>
      </c>
      <c r="AB20" s="108" t="str">
        <f t="shared" si="3"/>
        <v/>
      </c>
      <c r="AC20" s="108" t="str">
        <f t="shared" si="3"/>
        <v/>
      </c>
      <c r="AD20" s="108" t="str">
        <f t="shared" si="3"/>
        <v/>
      </c>
      <c r="AE20" s="108" t="str">
        <f t="shared" si="3"/>
        <v/>
      </c>
      <c r="AF20" s="122">
        <v>0</v>
      </c>
      <c r="AG20" s="123"/>
      <c r="AH20" s="124"/>
      <c r="AI20" s="108">
        <f t="shared" si="3"/>
        <v>0</v>
      </c>
      <c r="AJ20" s="108">
        <f t="shared" si="3"/>
        <v>0</v>
      </c>
      <c r="AK20" s="108" t="str">
        <f t="shared" si="3"/>
        <v/>
      </c>
      <c r="AL20" s="108" t="str">
        <f t="shared" si="3"/>
        <v/>
      </c>
      <c r="AM20" s="108" t="str">
        <f t="shared" si="3"/>
        <v/>
      </c>
      <c r="AN20" s="108" t="str">
        <f t="shared" si="3"/>
        <v/>
      </c>
      <c r="AO20" s="108" t="str">
        <f t="shared" si="3"/>
        <v/>
      </c>
      <c r="AP20" s="108" t="str">
        <f t="shared" si="3"/>
        <v/>
      </c>
      <c r="AQ20" s="108" t="str">
        <f t="shared" si="3"/>
        <v/>
      </c>
      <c r="AR20" s="108" t="str">
        <f t="shared" si="3"/>
        <v/>
      </c>
      <c r="AS20" s="108" t="str">
        <f t="shared" si="3"/>
        <v/>
      </c>
      <c r="AT20" s="108" t="str">
        <f t="shared" si="3"/>
        <v/>
      </c>
      <c r="AU20" s="111" t="str">
        <f t="shared" si="3"/>
        <v/>
      </c>
      <c r="AV20" s="112"/>
    </row>
    <row r="21" spans="1:48" ht="15" customHeight="1">
      <c r="A21" s="141" t="s">
        <v>29</v>
      </c>
      <c r="B21" s="142"/>
      <c r="C21" s="142"/>
      <c r="D21" s="143"/>
      <c r="E21" s="79"/>
      <c r="F21" s="62" t="str">
        <f>ROUNDUP((E24-C22)/30,0) &amp;"MONTHS"</f>
        <v>10MONTHS</v>
      </c>
      <c r="G21" s="26">
        <f>SUM(AC4-C22)/30</f>
        <v>3.1333333333333333</v>
      </c>
      <c r="H21" s="12">
        <f t="array" ref="H21">SUMPRODUCT(H22:H27/3)</f>
        <v>0.33333333333333331</v>
      </c>
      <c r="I21" s="108" t="str">
        <f t="shared" si="4"/>
        <v/>
      </c>
      <c r="J21" s="108" t="str">
        <f t="shared" si="4"/>
        <v/>
      </c>
      <c r="K21" s="108" t="str">
        <f t="shared" si="4"/>
        <v/>
      </c>
      <c r="L21" s="108" t="str">
        <f t="shared" si="4"/>
        <v/>
      </c>
      <c r="M21" s="108" t="str">
        <f t="shared" si="4"/>
        <v/>
      </c>
      <c r="N21" s="108" t="str">
        <f t="shared" si="4"/>
        <v/>
      </c>
      <c r="O21" s="108" t="str">
        <f t="shared" si="4"/>
        <v/>
      </c>
      <c r="P21" s="108" t="str">
        <f t="shared" si="4"/>
        <v/>
      </c>
      <c r="Q21" s="108" t="str">
        <f t="shared" si="4"/>
        <v/>
      </c>
      <c r="R21" s="108" t="str">
        <f t="shared" si="4"/>
        <v/>
      </c>
      <c r="S21" s="108" t="str">
        <f t="shared" si="4"/>
        <v/>
      </c>
      <c r="T21" s="108" t="str">
        <f t="shared" si="4"/>
        <v/>
      </c>
      <c r="U21" s="108" t="str">
        <f t="shared" si="4"/>
        <v/>
      </c>
      <c r="V21" s="108" t="str">
        <f t="shared" si="4"/>
        <v/>
      </c>
      <c r="W21" s="108" t="str">
        <f t="shared" si="4"/>
        <v/>
      </c>
      <c r="X21" s="108" t="str">
        <f t="shared" si="4"/>
        <v/>
      </c>
      <c r="Y21" s="108" t="str">
        <f t="shared" ref="Y21:AN37" si="6">IF(AND(Y$4&gt;=$C21,Y$4&lt;=$E21),$H21,"")</f>
        <v/>
      </c>
      <c r="Z21" s="108" t="str">
        <f t="shared" si="6"/>
        <v/>
      </c>
      <c r="AA21" s="108" t="str">
        <f t="shared" si="6"/>
        <v/>
      </c>
      <c r="AB21" s="108" t="str">
        <f t="shared" si="6"/>
        <v/>
      </c>
      <c r="AC21" s="108" t="str">
        <f t="shared" si="6"/>
        <v/>
      </c>
      <c r="AD21" s="108" t="str">
        <f t="shared" si="6"/>
        <v/>
      </c>
      <c r="AE21" s="108" t="str">
        <f t="shared" si="6"/>
        <v/>
      </c>
      <c r="AF21" s="108" t="str">
        <f t="shared" si="6"/>
        <v/>
      </c>
      <c r="AG21" s="108" t="str">
        <f t="shared" si="6"/>
        <v/>
      </c>
      <c r="AH21" s="108" t="str">
        <f t="shared" si="6"/>
        <v/>
      </c>
      <c r="AI21" s="108" t="str">
        <f t="shared" si="6"/>
        <v/>
      </c>
      <c r="AJ21" s="108" t="str">
        <f t="shared" si="6"/>
        <v/>
      </c>
      <c r="AK21" s="108" t="str">
        <f t="shared" si="6"/>
        <v/>
      </c>
      <c r="AL21" s="108" t="str">
        <f t="shared" si="6"/>
        <v/>
      </c>
      <c r="AM21" s="108" t="str">
        <f t="shared" si="6"/>
        <v/>
      </c>
      <c r="AN21" s="108" t="str">
        <f t="shared" si="6"/>
        <v/>
      </c>
      <c r="AO21" s="108" t="str">
        <f t="shared" ref="AO21:AU37" si="7">IF(AND(AO$4&gt;=$C21,AO$4&lt;=$E21),$H21,"")</f>
        <v/>
      </c>
      <c r="AP21" s="108" t="str">
        <f t="shared" si="7"/>
        <v/>
      </c>
      <c r="AQ21" s="108" t="str">
        <f t="shared" si="7"/>
        <v/>
      </c>
      <c r="AR21" s="108" t="str">
        <f t="shared" si="7"/>
        <v/>
      </c>
      <c r="AS21" s="108" t="str">
        <f t="shared" si="7"/>
        <v/>
      </c>
      <c r="AT21" s="108" t="str">
        <f t="shared" si="7"/>
        <v/>
      </c>
      <c r="AU21" s="111" t="str">
        <f t="shared" si="7"/>
        <v/>
      </c>
      <c r="AV21" s="112"/>
    </row>
    <row r="22" spans="1:48" ht="15" customHeight="1" outlineLevel="1">
      <c r="A22" s="31" t="s">
        <v>30</v>
      </c>
      <c r="B22" s="32" t="s">
        <v>11</v>
      </c>
      <c r="C22" s="36">
        <v>46080</v>
      </c>
      <c r="D22" s="81">
        <v>46172</v>
      </c>
      <c r="E22" s="74">
        <v>46295</v>
      </c>
      <c r="F22" s="35">
        <f t="shared" ref="F22:F27" si="8">SUM(E22-C22)</f>
        <v>215</v>
      </c>
      <c r="G22" s="24" t="s">
        <v>115</v>
      </c>
      <c r="H22" s="22">
        <v>0.6</v>
      </c>
      <c r="I22" s="108" t="str">
        <f t="shared" si="4"/>
        <v/>
      </c>
      <c r="J22" s="108" t="str">
        <f t="shared" si="4"/>
        <v/>
      </c>
      <c r="K22" s="108" t="str">
        <f t="shared" si="4"/>
        <v/>
      </c>
      <c r="L22" s="108" t="str">
        <f t="shared" si="4"/>
        <v/>
      </c>
      <c r="M22" s="108" t="str">
        <f t="shared" si="4"/>
        <v/>
      </c>
      <c r="N22" s="108" t="str">
        <f t="shared" si="4"/>
        <v/>
      </c>
      <c r="O22" s="108" t="str">
        <f t="shared" si="4"/>
        <v/>
      </c>
      <c r="P22" s="108" t="str">
        <f t="shared" si="4"/>
        <v/>
      </c>
      <c r="Q22" s="108" t="str">
        <f t="shared" si="4"/>
        <v/>
      </c>
      <c r="R22" s="108" t="str">
        <f t="shared" si="4"/>
        <v/>
      </c>
      <c r="S22" s="108" t="str">
        <f t="shared" si="4"/>
        <v/>
      </c>
      <c r="T22" s="108" t="str">
        <f t="shared" si="4"/>
        <v/>
      </c>
      <c r="U22" s="108" t="str">
        <f t="shared" si="4"/>
        <v/>
      </c>
      <c r="V22" s="108" t="str">
        <f t="shared" si="4"/>
        <v/>
      </c>
      <c r="W22" s="108" t="str">
        <f t="shared" si="4"/>
        <v/>
      </c>
      <c r="X22" s="108" t="str">
        <f t="shared" si="4"/>
        <v/>
      </c>
      <c r="Y22" s="108" t="str">
        <f t="shared" si="6"/>
        <v/>
      </c>
      <c r="Z22" s="122">
        <f t="shared" si="6"/>
        <v>0.6</v>
      </c>
      <c r="AA22" s="123"/>
      <c r="AB22" s="123"/>
      <c r="AC22" s="123"/>
      <c r="AD22" s="123"/>
      <c r="AE22" s="124"/>
      <c r="AF22" s="108">
        <f t="shared" si="6"/>
        <v>0.6</v>
      </c>
      <c r="AG22" s="108" t="str">
        <f t="shared" si="6"/>
        <v/>
      </c>
      <c r="AH22" s="108" t="str">
        <f t="shared" si="6"/>
        <v/>
      </c>
      <c r="AI22" s="108" t="str">
        <f t="shared" si="6"/>
        <v/>
      </c>
      <c r="AJ22" s="108" t="str">
        <f t="shared" si="6"/>
        <v/>
      </c>
      <c r="AK22" s="108" t="str">
        <f t="shared" si="6"/>
        <v/>
      </c>
      <c r="AL22" s="108" t="str">
        <f t="shared" si="6"/>
        <v/>
      </c>
      <c r="AM22" s="108" t="str">
        <f t="shared" si="6"/>
        <v/>
      </c>
      <c r="AN22" s="108" t="str">
        <f t="shared" si="6"/>
        <v/>
      </c>
      <c r="AO22" s="108" t="str">
        <f t="shared" si="7"/>
        <v/>
      </c>
      <c r="AP22" s="108" t="str">
        <f t="shared" si="7"/>
        <v/>
      </c>
      <c r="AQ22" s="108" t="str">
        <f t="shared" si="7"/>
        <v/>
      </c>
      <c r="AR22" s="108" t="str">
        <f t="shared" si="7"/>
        <v/>
      </c>
      <c r="AS22" s="108" t="str">
        <f t="shared" si="7"/>
        <v/>
      </c>
      <c r="AT22" s="108" t="str">
        <f t="shared" si="7"/>
        <v/>
      </c>
      <c r="AU22" s="111" t="str">
        <f t="shared" si="7"/>
        <v/>
      </c>
      <c r="AV22" s="112"/>
    </row>
    <row r="23" spans="1:48" ht="15" customHeight="1" outlineLevel="1">
      <c r="A23" s="31" t="s">
        <v>31</v>
      </c>
      <c r="B23" s="32" t="s">
        <v>122</v>
      </c>
      <c r="C23" s="36">
        <v>46203</v>
      </c>
      <c r="D23" s="81">
        <v>46326</v>
      </c>
      <c r="E23" s="74">
        <v>46213</v>
      </c>
      <c r="F23" s="35">
        <f t="shared" si="8"/>
        <v>10</v>
      </c>
      <c r="G23" s="27"/>
      <c r="H23" s="23">
        <v>0.4</v>
      </c>
      <c r="I23" s="108" t="str">
        <f t="shared" si="4"/>
        <v/>
      </c>
      <c r="J23" s="108" t="str">
        <f t="shared" si="4"/>
        <v/>
      </c>
      <c r="K23" s="108" t="str">
        <f t="shared" si="4"/>
        <v/>
      </c>
      <c r="L23" s="108" t="str">
        <f t="shared" si="4"/>
        <v/>
      </c>
      <c r="M23" s="108" t="str">
        <f t="shared" si="4"/>
        <v/>
      </c>
      <c r="N23" s="108" t="str">
        <f t="shared" si="4"/>
        <v/>
      </c>
      <c r="O23" s="108" t="str">
        <f t="shared" si="4"/>
        <v/>
      </c>
      <c r="P23" s="108" t="str">
        <f t="shared" si="4"/>
        <v/>
      </c>
      <c r="Q23" s="108" t="str">
        <f t="shared" si="4"/>
        <v/>
      </c>
      <c r="R23" s="108" t="str">
        <f t="shared" si="4"/>
        <v/>
      </c>
      <c r="S23" s="108" t="str">
        <f t="shared" si="4"/>
        <v/>
      </c>
      <c r="T23" s="108" t="str">
        <f t="shared" si="4"/>
        <v/>
      </c>
      <c r="U23" s="108" t="str">
        <f t="shared" si="4"/>
        <v/>
      </c>
      <c r="V23" s="108" t="str">
        <f t="shared" si="4"/>
        <v/>
      </c>
      <c r="W23" s="108" t="str">
        <f t="shared" si="4"/>
        <v/>
      </c>
      <c r="X23" s="108" t="str">
        <f t="shared" si="4"/>
        <v/>
      </c>
      <c r="Y23" s="108" t="str">
        <f t="shared" si="6"/>
        <v/>
      </c>
      <c r="Z23" s="108" t="str">
        <f t="shared" si="6"/>
        <v/>
      </c>
      <c r="AA23" s="108" t="str">
        <f t="shared" si="6"/>
        <v/>
      </c>
      <c r="AB23" s="108" t="str">
        <f t="shared" si="6"/>
        <v/>
      </c>
      <c r="AC23" s="108" t="str">
        <f t="shared" si="6"/>
        <v/>
      </c>
      <c r="AD23" s="108">
        <f>IF(AND(AD$4&gt;=$C23,AD$4&lt;=$E23),$H23,"")</f>
        <v>0.4</v>
      </c>
      <c r="AE23" s="108" t="str">
        <f t="shared" si="6"/>
        <v/>
      </c>
      <c r="AF23" s="108" t="str">
        <f t="shared" si="6"/>
        <v/>
      </c>
      <c r="AG23" s="108" t="str">
        <f t="shared" si="6"/>
        <v/>
      </c>
      <c r="AH23" s="108" t="str">
        <f t="shared" si="6"/>
        <v/>
      </c>
      <c r="AI23" s="108" t="str">
        <f t="shared" si="6"/>
        <v/>
      </c>
      <c r="AJ23" s="108" t="str">
        <f t="shared" si="6"/>
        <v/>
      </c>
      <c r="AK23" s="108" t="str">
        <f t="shared" si="6"/>
        <v/>
      </c>
      <c r="AL23" s="108" t="str">
        <f t="shared" si="6"/>
        <v/>
      </c>
      <c r="AM23" s="108" t="str">
        <f t="shared" si="6"/>
        <v/>
      </c>
      <c r="AN23" s="108" t="str">
        <f t="shared" si="6"/>
        <v/>
      </c>
      <c r="AO23" s="108" t="str">
        <f t="shared" si="7"/>
        <v/>
      </c>
      <c r="AP23" s="108" t="str">
        <f t="shared" si="7"/>
        <v/>
      </c>
      <c r="AQ23" s="108" t="str">
        <f t="shared" si="7"/>
        <v/>
      </c>
      <c r="AR23" s="108" t="str">
        <f t="shared" si="7"/>
        <v/>
      </c>
      <c r="AS23" s="108" t="str">
        <f t="shared" si="7"/>
        <v/>
      </c>
      <c r="AT23" s="108" t="str">
        <f t="shared" si="7"/>
        <v/>
      </c>
      <c r="AU23" s="111" t="str">
        <f t="shared" si="7"/>
        <v/>
      </c>
      <c r="AV23" s="112"/>
    </row>
    <row r="24" spans="1:48" ht="15" customHeight="1" outlineLevel="1">
      <c r="A24" s="31" t="s">
        <v>32</v>
      </c>
      <c r="B24" s="32" t="s">
        <v>18</v>
      </c>
      <c r="C24" s="36">
        <v>46204</v>
      </c>
      <c r="D24" s="81">
        <v>46326</v>
      </c>
      <c r="E24" s="74">
        <v>46371</v>
      </c>
      <c r="F24" s="35">
        <f t="shared" si="8"/>
        <v>167</v>
      </c>
      <c r="G24" s="27"/>
      <c r="H24" s="23">
        <v>0</v>
      </c>
      <c r="I24" s="108" t="str">
        <f t="shared" si="4"/>
        <v/>
      </c>
      <c r="J24" s="108" t="str">
        <f t="shared" si="4"/>
        <v/>
      </c>
      <c r="K24" s="108" t="str">
        <f t="shared" si="4"/>
        <v/>
      </c>
      <c r="L24" s="108" t="str">
        <f t="shared" si="4"/>
        <v/>
      </c>
      <c r="M24" s="108" t="str">
        <f t="shared" si="4"/>
        <v/>
      </c>
      <c r="N24" s="108" t="str">
        <f t="shared" si="4"/>
        <v/>
      </c>
      <c r="O24" s="108" t="str">
        <f t="shared" si="4"/>
        <v/>
      </c>
      <c r="P24" s="108" t="str">
        <f t="shared" si="4"/>
        <v/>
      </c>
      <c r="Q24" s="108" t="str">
        <f t="shared" si="4"/>
        <v/>
      </c>
      <c r="R24" s="108" t="str">
        <f t="shared" si="4"/>
        <v/>
      </c>
      <c r="S24" s="108" t="str">
        <f t="shared" si="4"/>
        <v/>
      </c>
      <c r="T24" s="108" t="str">
        <f t="shared" si="4"/>
        <v/>
      </c>
      <c r="U24" s="108" t="str">
        <f t="shared" si="4"/>
        <v/>
      </c>
      <c r="V24" s="108" t="str">
        <f t="shared" si="4"/>
        <v/>
      </c>
      <c r="W24" s="108" t="str">
        <f t="shared" si="4"/>
        <v/>
      </c>
      <c r="X24" s="108" t="str">
        <f t="shared" si="4"/>
        <v/>
      </c>
      <c r="Y24" s="108" t="str">
        <f t="shared" si="6"/>
        <v/>
      </c>
      <c r="Z24" s="108" t="str">
        <f t="shared" si="6"/>
        <v/>
      </c>
      <c r="AA24" s="108" t="str">
        <f t="shared" si="6"/>
        <v/>
      </c>
      <c r="AB24" s="108" t="str">
        <f t="shared" si="6"/>
        <v/>
      </c>
      <c r="AC24" s="108" t="str">
        <f t="shared" si="6"/>
        <v/>
      </c>
      <c r="AD24" s="122">
        <f t="shared" si="6"/>
        <v>0</v>
      </c>
      <c r="AE24" s="123"/>
      <c r="AF24" s="123"/>
      <c r="AG24" s="123"/>
      <c r="AH24" s="123"/>
      <c r="AI24" s="124"/>
      <c r="AJ24" s="108" t="str">
        <f t="shared" si="6"/>
        <v/>
      </c>
      <c r="AK24" s="108" t="str">
        <f t="shared" si="6"/>
        <v/>
      </c>
      <c r="AL24" s="108" t="str">
        <f t="shared" si="6"/>
        <v/>
      </c>
      <c r="AM24" s="108" t="str">
        <f t="shared" si="6"/>
        <v/>
      </c>
      <c r="AN24" s="108" t="str">
        <f t="shared" si="6"/>
        <v/>
      </c>
      <c r="AO24" s="108" t="str">
        <f t="shared" si="7"/>
        <v/>
      </c>
      <c r="AP24" s="108" t="str">
        <f t="shared" si="7"/>
        <v/>
      </c>
      <c r="AQ24" s="108" t="str">
        <f t="shared" si="7"/>
        <v/>
      </c>
      <c r="AR24" s="108" t="str">
        <f t="shared" si="7"/>
        <v/>
      </c>
      <c r="AS24" s="108" t="str">
        <f t="shared" si="7"/>
        <v/>
      </c>
      <c r="AT24" s="108" t="str">
        <f t="shared" si="7"/>
        <v/>
      </c>
      <c r="AU24" s="111" t="str">
        <f t="shared" si="7"/>
        <v/>
      </c>
      <c r="AV24" s="112" t="s">
        <v>127</v>
      </c>
    </row>
    <row r="25" spans="1:48" ht="15" customHeight="1" outlineLevel="1">
      <c r="A25" s="31"/>
      <c r="B25" s="32" t="s">
        <v>123</v>
      </c>
      <c r="C25" s="36">
        <v>46357</v>
      </c>
      <c r="D25" s="81"/>
      <c r="E25" s="74">
        <v>46367</v>
      </c>
      <c r="F25" s="35">
        <f t="shared" si="8"/>
        <v>10</v>
      </c>
      <c r="G25" s="27"/>
      <c r="H25" s="23">
        <v>0</v>
      </c>
      <c r="I25" s="108" t="str">
        <f t="shared" si="4"/>
        <v/>
      </c>
      <c r="J25" s="108" t="str">
        <f t="shared" si="4"/>
        <v/>
      </c>
      <c r="K25" s="108" t="str">
        <f t="shared" si="4"/>
        <v/>
      </c>
      <c r="L25" s="108" t="str">
        <f t="shared" si="4"/>
        <v/>
      </c>
      <c r="M25" s="108" t="str">
        <f t="shared" si="4"/>
        <v/>
      </c>
      <c r="N25" s="108" t="str">
        <f t="shared" si="4"/>
        <v/>
      </c>
      <c r="O25" s="108" t="str">
        <f t="shared" si="4"/>
        <v/>
      </c>
      <c r="P25" s="108" t="str">
        <f t="shared" si="4"/>
        <v/>
      </c>
      <c r="Q25" s="108" t="str">
        <f t="shared" si="4"/>
        <v/>
      </c>
      <c r="R25" s="108" t="str">
        <f t="shared" si="4"/>
        <v/>
      </c>
      <c r="S25" s="108" t="str">
        <f t="shared" si="4"/>
        <v/>
      </c>
      <c r="T25" s="108" t="str">
        <f t="shared" si="4"/>
        <v/>
      </c>
      <c r="U25" s="108" t="str">
        <f t="shared" si="4"/>
        <v/>
      </c>
      <c r="V25" s="108" t="str">
        <f t="shared" si="4"/>
        <v/>
      </c>
      <c r="W25" s="108" t="str">
        <f t="shared" si="4"/>
        <v/>
      </c>
      <c r="X25" s="108" t="str">
        <f t="shared" si="4"/>
        <v/>
      </c>
      <c r="Y25" s="108" t="str">
        <f t="shared" si="6"/>
        <v/>
      </c>
      <c r="Z25" s="108" t="str">
        <f t="shared" si="6"/>
        <v/>
      </c>
      <c r="AA25" s="108" t="str">
        <f t="shared" si="6"/>
        <v/>
      </c>
      <c r="AB25" s="108" t="str">
        <f t="shared" si="6"/>
        <v/>
      </c>
      <c r="AC25" s="108" t="str">
        <f t="shared" si="6"/>
        <v/>
      </c>
      <c r="AD25" s="108" t="str">
        <f t="shared" si="6"/>
        <v/>
      </c>
      <c r="AE25" s="108" t="str">
        <f t="shared" si="6"/>
        <v/>
      </c>
      <c r="AF25" s="108" t="str">
        <f t="shared" si="6"/>
        <v/>
      </c>
      <c r="AG25" s="108" t="str">
        <f t="shared" si="6"/>
        <v/>
      </c>
      <c r="AH25" s="108" t="str">
        <f t="shared" si="6"/>
        <v/>
      </c>
      <c r="AI25" s="108">
        <f t="shared" si="6"/>
        <v>0</v>
      </c>
      <c r="AJ25" s="108" t="str">
        <f t="shared" si="6"/>
        <v/>
      </c>
      <c r="AK25" s="108" t="str">
        <f t="shared" si="6"/>
        <v/>
      </c>
      <c r="AL25" s="108" t="str">
        <f t="shared" si="6"/>
        <v/>
      </c>
      <c r="AM25" s="108" t="str">
        <f t="shared" si="6"/>
        <v/>
      </c>
      <c r="AN25" s="108" t="str">
        <f t="shared" si="6"/>
        <v/>
      </c>
      <c r="AO25" s="108" t="str">
        <f t="shared" si="7"/>
        <v/>
      </c>
      <c r="AP25" s="108" t="str">
        <f t="shared" si="7"/>
        <v/>
      </c>
      <c r="AQ25" s="108" t="str">
        <f t="shared" si="7"/>
        <v/>
      </c>
      <c r="AR25" s="108" t="str">
        <f t="shared" si="7"/>
        <v/>
      </c>
      <c r="AS25" s="108" t="str">
        <f t="shared" si="7"/>
        <v/>
      </c>
      <c r="AT25" s="108" t="str">
        <f t="shared" si="7"/>
        <v/>
      </c>
      <c r="AU25" s="111" t="str">
        <f t="shared" si="7"/>
        <v/>
      </c>
      <c r="AV25" s="112"/>
    </row>
    <row r="26" spans="1:48" ht="15" customHeight="1" outlineLevel="1">
      <c r="A26" s="31" t="s">
        <v>33</v>
      </c>
      <c r="B26" s="32" t="s">
        <v>111</v>
      </c>
      <c r="C26" s="36">
        <v>46341</v>
      </c>
      <c r="D26" s="81">
        <v>46310</v>
      </c>
      <c r="E26" s="74">
        <v>46371</v>
      </c>
      <c r="F26" s="35">
        <f t="shared" si="8"/>
        <v>30</v>
      </c>
      <c r="G26" s="27"/>
      <c r="H26" s="23">
        <v>0</v>
      </c>
      <c r="I26" s="108" t="str">
        <f t="shared" si="4"/>
        <v/>
      </c>
      <c r="J26" s="108" t="str">
        <f t="shared" si="4"/>
        <v/>
      </c>
      <c r="K26" s="108" t="str">
        <f t="shared" si="4"/>
        <v/>
      </c>
      <c r="L26" s="108" t="str">
        <f t="shared" si="4"/>
        <v/>
      </c>
      <c r="M26" s="108" t="str">
        <f t="shared" si="4"/>
        <v/>
      </c>
      <c r="N26" s="108" t="str">
        <f t="shared" si="4"/>
        <v/>
      </c>
      <c r="O26" s="108" t="str">
        <f t="shared" si="4"/>
        <v/>
      </c>
      <c r="P26" s="108" t="str">
        <f t="shared" si="4"/>
        <v/>
      </c>
      <c r="Q26" s="108" t="str">
        <f t="shared" si="4"/>
        <v/>
      </c>
      <c r="R26" s="108" t="str">
        <f t="shared" si="4"/>
        <v/>
      </c>
      <c r="S26" s="108" t="str">
        <f t="shared" si="4"/>
        <v/>
      </c>
      <c r="T26" s="108" t="str">
        <f t="shared" si="4"/>
        <v/>
      </c>
      <c r="U26" s="108" t="str">
        <f t="shared" si="4"/>
        <v/>
      </c>
      <c r="V26" s="108" t="str">
        <f t="shared" si="4"/>
        <v/>
      </c>
      <c r="W26" s="108" t="str">
        <f t="shared" si="4"/>
        <v/>
      </c>
      <c r="X26" s="108" t="str">
        <f t="shared" si="4"/>
        <v/>
      </c>
      <c r="Y26" s="108" t="str">
        <f t="shared" si="6"/>
        <v/>
      </c>
      <c r="Z26" s="108" t="str">
        <f t="shared" si="6"/>
        <v/>
      </c>
      <c r="AA26" s="108" t="str">
        <f t="shared" si="6"/>
        <v/>
      </c>
      <c r="AB26" s="108" t="str">
        <f t="shared" si="6"/>
        <v/>
      </c>
      <c r="AC26" s="108" t="str">
        <f t="shared" si="6"/>
        <v/>
      </c>
      <c r="AD26" s="108" t="str">
        <f t="shared" si="6"/>
        <v/>
      </c>
      <c r="AE26" s="108" t="str">
        <f t="shared" si="6"/>
        <v/>
      </c>
      <c r="AF26" s="108" t="str">
        <f t="shared" si="6"/>
        <v/>
      </c>
      <c r="AG26" s="108" t="str">
        <f t="shared" si="6"/>
        <v/>
      </c>
      <c r="AH26" s="108" t="str">
        <f t="shared" si="6"/>
        <v/>
      </c>
      <c r="AI26" s="108">
        <f t="shared" si="6"/>
        <v>0</v>
      </c>
      <c r="AJ26" s="108" t="str">
        <f t="shared" si="6"/>
        <v/>
      </c>
      <c r="AK26" s="108" t="str">
        <f t="shared" si="6"/>
        <v/>
      </c>
      <c r="AL26" s="108" t="str">
        <f t="shared" si="6"/>
        <v/>
      </c>
      <c r="AM26" s="108" t="str">
        <f t="shared" si="6"/>
        <v/>
      </c>
      <c r="AN26" s="108" t="str">
        <f t="shared" si="6"/>
        <v/>
      </c>
      <c r="AO26" s="108" t="str">
        <f t="shared" si="7"/>
        <v/>
      </c>
      <c r="AP26" s="108" t="str">
        <f t="shared" si="7"/>
        <v/>
      </c>
      <c r="AQ26" s="108" t="str">
        <f t="shared" si="7"/>
        <v/>
      </c>
      <c r="AR26" s="108" t="str">
        <f t="shared" si="7"/>
        <v/>
      </c>
      <c r="AS26" s="108" t="str">
        <f t="shared" si="7"/>
        <v/>
      </c>
      <c r="AT26" s="108" t="str">
        <f t="shared" si="7"/>
        <v/>
      </c>
      <c r="AU26" s="111" t="str">
        <f t="shared" si="7"/>
        <v/>
      </c>
      <c r="AV26" s="112"/>
    </row>
    <row r="27" spans="1:48" ht="15" customHeight="1" outlineLevel="1">
      <c r="A27" s="31" t="s">
        <v>34</v>
      </c>
      <c r="B27" s="32" t="s">
        <v>22</v>
      </c>
      <c r="C27" s="36">
        <v>46290</v>
      </c>
      <c r="D27" s="81">
        <v>46326</v>
      </c>
      <c r="E27" s="75">
        <v>46351</v>
      </c>
      <c r="F27" s="35">
        <f t="shared" si="8"/>
        <v>61</v>
      </c>
      <c r="G27" s="28"/>
      <c r="H27" s="23">
        <v>0</v>
      </c>
      <c r="I27" s="108" t="str">
        <f t="shared" si="4"/>
        <v/>
      </c>
      <c r="J27" s="108" t="str">
        <f t="shared" si="4"/>
        <v/>
      </c>
      <c r="K27" s="108" t="str">
        <f t="shared" si="4"/>
        <v/>
      </c>
      <c r="L27" s="108" t="str">
        <f t="shared" si="4"/>
        <v/>
      </c>
      <c r="M27" s="108" t="str">
        <f t="shared" si="4"/>
        <v/>
      </c>
      <c r="N27" s="108" t="str">
        <f t="shared" si="4"/>
        <v/>
      </c>
      <c r="O27" s="108" t="str">
        <f t="shared" si="4"/>
        <v/>
      </c>
      <c r="P27" s="108" t="str">
        <f t="shared" si="4"/>
        <v/>
      </c>
      <c r="Q27" s="108" t="str">
        <f t="shared" si="4"/>
        <v/>
      </c>
      <c r="R27" s="108" t="str">
        <f t="shared" si="4"/>
        <v/>
      </c>
      <c r="S27" s="108" t="str">
        <f t="shared" si="4"/>
        <v/>
      </c>
      <c r="T27" s="108" t="str">
        <f t="shared" si="4"/>
        <v/>
      </c>
      <c r="U27" s="108" t="str">
        <f t="shared" si="4"/>
        <v/>
      </c>
      <c r="V27" s="108" t="str">
        <f t="shared" si="4"/>
        <v/>
      </c>
      <c r="W27" s="108" t="str">
        <f t="shared" si="4"/>
        <v/>
      </c>
      <c r="X27" s="108" t="str">
        <f t="shared" si="4"/>
        <v/>
      </c>
      <c r="Y27" s="108" t="str">
        <f t="shared" si="6"/>
        <v/>
      </c>
      <c r="Z27" s="108" t="str">
        <f t="shared" si="6"/>
        <v/>
      </c>
      <c r="AA27" s="108" t="str">
        <f t="shared" si="6"/>
        <v/>
      </c>
      <c r="AB27" s="108" t="str">
        <f t="shared" si="6"/>
        <v/>
      </c>
      <c r="AC27" s="108" t="str">
        <f t="shared" si="6"/>
        <v/>
      </c>
      <c r="AD27" s="108" t="str">
        <f t="shared" si="6"/>
        <v/>
      </c>
      <c r="AE27" s="108" t="str">
        <f t="shared" si="6"/>
        <v/>
      </c>
      <c r="AF27" s="108" t="str">
        <f t="shared" si="6"/>
        <v/>
      </c>
      <c r="AG27" s="122">
        <f t="shared" si="6"/>
        <v>0</v>
      </c>
      <c r="AH27" s="124"/>
      <c r="AI27" s="108" t="str">
        <f t="shared" si="6"/>
        <v/>
      </c>
      <c r="AJ27" s="108" t="str">
        <f t="shared" si="6"/>
        <v/>
      </c>
      <c r="AK27" s="108" t="str">
        <f t="shared" si="6"/>
        <v/>
      </c>
      <c r="AL27" s="108" t="str">
        <f t="shared" si="6"/>
        <v/>
      </c>
      <c r="AM27" s="108" t="str">
        <f t="shared" si="6"/>
        <v/>
      </c>
      <c r="AN27" s="108" t="str">
        <f t="shared" si="6"/>
        <v/>
      </c>
      <c r="AO27" s="108" t="str">
        <f t="shared" si="7"/>
        <v/>
      </c>
      <c r="AP27" s="108" t="str">
        <f t="shared" si="7"/>
        <v/>
      </c>
      <c r="AQ27" s="108" t="str">
        <f t="shared" si="7"/>
        <v/>
      </c>
      <c r="AR27" s="108" t="str">
        <f t="shared" si="7"/>
        <v/>
      </c>
      <c r="AS27" s="108" t="str">
        <f t="shared" si="7"/>
        <v/>
      </c>
      <c r="AT27" s="108" t="str">
        <f t="shared" si="7"/>
        <v/>
      </c>
      <c r="AU27" s="111" t="str">
        <f t="shared" si="7"/>
        <v/>
      </c>
      <c r="AV27" s="112"/>
    </row>
    <row r="28" spans="1:48" ht="15" customHeight="1">
      <c r="A28" s="129" t="s">
        <v>35</v>
      </c>
      <c r="B28" s="130"/>
      <c r="C28" s="130"/>
      <c r="D28" s="131"/>
      <c r="E28" s="80"/>
      <c r="F28" s="62" t="str">
        <f>ROUNDUP((E31-C29)/30,0) &amp;"MONTHS"</f>
        <v>11MONTHS</v>
      </c>
      <c r="G28" s="26">
        <f>SUM(AC4-C29)/30</f>
        <v>3.5333333333333332</v>
      </c>
      <c r="H28" s="12">
        <f t="array" ref="H28">SUMPRODUCT(H29:H34/3)</f>
        <v>0.36666666666666664</v>
      </c>
      <c r="I28" s="108" t="str">
        <f t="shared" si="4"/>
        <v/>
      </c>
      <c r="J28" s="108" t="str">
        <f t="shared" si="4"/>
        <v/>
      </c>
      <c r="K28" s="108" t="str">
        <f t="shared" si="4"/>
        <v/>
      </c>
      <c r="L28" s="108" t="str">
        <f t="shared" si="4"/>
        <v/>
      </c>
      <c r="M28" s="108" t="str">
        <f t="shared" si="4"/>
        <v/>
      </c>
      <c r="N28" s="108" t="str">
        <f t="shared" si="4"/>
        <v/>
      </c>
      <c r="O28" s="108" t="str">
        <f t="shared" si="4"/>
        <v/>
      </c>
      <c r="P28" s="108" t="str">
        <f t="shared" si="4"/>
        <v/>
      </c>
      <c r="Q28" s="108" t="str">
        <f t="shared" si="4"/>
        <v/>
      </c>
      <c r="R28" s="108" t="str">
        <f t="shared" si="4"/>
        <v/>
      </c>
      <c r="S28" s="108" t="str">
        <f t="shared" si="4"/>
        <v/>
      </c>
      <c r="T28" s="108" t="str">
        <f t="shared" si="4"/>
        <v/>
      </c>
      <c r="U28" s="108" t="str">
        <f t="shared" si="4"/>
        <v/>
      </c>
      <c r="V28" s="108" t="str">
        <f t="shared" si="4"/>
        <v/>
      </c>
      <c r="W28" s="108" t="str">
        <f t="shared" si="4"/>
        <v/>
      </c>
      <c r="X28" s="108" t="str">
        <f t="shared" si="4"/>
        <v/>
      </c>
      <c r="Y28" s="108" t="str">
        <f t="shared" si="6"/>
        <v/>
      </c>
      <c r="Z28" s="108" t="str">
        <f t="shared" si="6"/>
        <v/>
      </c>
      <c r="AA28" s="108" t="str">
        <f t="shared" si="6"/>
        <v/>
      </c>
      <c r="AB28" s="108" t="str">
        <f t="shared" si="6"/>
        <v/>
      </c>
      <c r="AC28" s="108" t="str">
        <f t="shared" si="6"/>
        <v/>
      </c>
      <c r="AD28" s="108" t="str">
        <f t="shared" si="6"/>
        <v/>
      </c>
      <c r="AE28" s="108" t="str">
        <f t="shared" si="6"/>
        <v/>
      </c>
      <c r="AF28" s="108" t="str">
        <f t="shared" si="6"/>
        <v/>
      </c>
      <c r="AG28" s="108" t="str">
        <f t="shared" si="6"/>
        <v/>
      </c>
      <c r="AH28" s="108" t="str">
        <f t="shared" si="6"/>
        <v/>
      </c>
      <c r="AI28" s="108" t="str">
        <f t="shared" si="6"/>
        <v/>
      </c>
      <c r="AJ28" s="108" t="str">
        <f t="shared" si="6"/>
        <v/>
      </c>
      <c r="AK28" s="108" t="str">
        <f t="shared" si="6"/>
        <v/>
      </c>
      <c r="AL28" s="108" t="str">
        <f t="shared" si="6"/>
        <v/>
      </c>
      <c r="AM28" s="108" t="str">
        <f t="shared" si="6"/>
        <v/>
      </c>
      <c r="AN28" s="108" t="str">
        <f t="shared" si="6"/>
        <v/>
      </c>
      <c r="AO28" s="108" t="str">
        <f t="shared" si="7"/>
        <v/>
      </c>
      <c r="AP28" s="108" t="str">
        <f t="shared" si="7"/>
        <v/>
      </c>
      <c r="AQ28" s="108" t="str">
        <f t="shared" si="7"/>
        <v/>
      </c>
      <c r="AR28" s="108" t="str">
        <f t="shared" si="7"/>
        <v/>
      </c>
      <c r="AS28" s="108" t="str">
        <f t="shared" si="7"/>
        <v/>
      </c>
      <c r="AT28" s="108" t="str">
        <f t="shared" si="7"/>
        <v/>
      </c>
      <c r="AU28" s="111" t="str">
        <f t="shared" si="7"/>
        <v/>
      </c>
      <c r="AV28" s="112"/>
    </row>
    <row r="29" spans="1:48" ht="15" customHeight="1" outlineLevel="1">
      <c r="A29" s="31" t="s">
        <v>36</v>
      </c>
      <c r="B29" s="32" t="s">
        <v>11</v>
      </c>
      <c r="C29" s="36">
        <v>46068</v>
      </c>
      <c r="D29" s="36">
        <v>46203</v>
      </c>
      <c r="E29" s="74">
        <v>46295</v>
      </c>
      <c r="F29" s="35">
        <f t="shared" ref="F29:F34" si="9">SUM(E29-C29)</f>
        <v>227</v>
      </c>
      <c r="G29" s="24" t="s">
        <v>115</v>
      </c>
      <c r="H29" s="22">
        <v>0.6</v>
      </c>
      <c r="I29" s="108" t="str">
        <f t="shared" si="4"/>
        <v/>
      </c>
      <c r="J29" s="108" t="str">
        <f t="shared" si="4"/>
        <v/>
      </c>
      <c r="K29" s="108" t="str">
        <f t="shared" si="4"/>
        <v/>
      </c>
      <c r="L29" s="108" t="str">
        <f t="shared" si="4"/>
        <v/>
      </c>
      <c r="M29" s="108" t="str">
        <f t="shared" si="4"/>
        <v/>
      </c>
      <c r="N29" s="108" t="str">
        <f t="shared" si="4"/>
        <v/>
      </c>
      <c r="O29" s="108" t="str">
        <f t="shared" si="4"/>
        <v/>
      </c>
      <c r="P29" s="108" t="str">
        <f>IF(AND(P$4&gt;=$C29,P$4&lt;=$E29),$H29,"")</f>
        <v/>
      </c>
      <c r="Q29" s="108" t="str">
        <f t="shared" si="4"/>
        <v/>
      </c>
      <c r="R29" s="108" t="str">
        <f t="shared" si="4"/>
        <v/>
      </c>
      <c r="S29" s="108" t="str">
        <f t="shared" si="4"/>
        <v/>
      </c>
      <c r="T29" s="108" t="str">
        <f t="shared" si="4"/>
        <v/>
      </c>
      <c r="U29" s="108" t="str">
        <f t="shared" si="4"/>
        <v/>
      </c>
      <c r="V29" s="108" t="str">
        <f t="shared" si="4"/>
        <v/>
      </c>
      <c r="W29" s="108" t="str">
        <f t="shared" si="4"/>
        <v/>
      </c>
      <c r="X29" s="108" t="str">
        <f t="shared" si="4"/>
        <v/>
      </c>
      <c r="Y29" s="122">
        <f>IF(AND(Y$4&lt;=$C29,Y$4&lt;=$E29),$H29,"")</f>
        <v>0.6</v>
      </c>
      <c r="Z29" s="123"/>
      <c r="AA29" s="123"/>
      <c r="AB29" s="123"/>
      <c r="AC29" s="123"/>
      <c r="AD29" s="123"/>
      <c r="AE29" s="124"/>
      <c r="AF29" s="108">
        <f t="shared" si="6"/>
        <v>0.6</v>
      </c>
      <c r="AG29" s="108" t="str">
        <f t="shared" si="6"/>
        <v/>
      </c>
      <c r="AH29" s="108" t="str">
        <f t="shared" si="6"/>
        <v/>
      </c>
      <c r="AI29" s="108" t="str">
        <f t="shared" si="6"/>
        <v/>
      </c>
      <c r="AJ29" s="108" t="str">
        <f t="shared" si="6"/>
        <v/>
      </c>
      <c r="AK29" s="108" t="str">
        <f t="shared" si="6"/>
        <v/>
      </c>
      <c r="AL29" s="108" t="str">
        <f t="shared" si="6"/>
        <v/>
      </c>
      <c r="AM29" s="108" t="str">
        <f t="shared" si="6"/>
        <v/>
      </c>
      <c r="AN29" s="108" t="str">
        <f t="shared" si="6"/>
        <v/>
      </c>
      <c r="AO29" s="108" t="str">
        <f t="shared" si="7"/>
        <v/>
      </c>
      <c r="AP29" s="108" t="str">
        <f t="shared" si="7"/>
        <v/>
      </c>
      <c r="AQ29" s="108" t="str">
        <f t="shared" si="7"/>
        <v/>
      </c>
      <c r="AR29" s="108" t="str">
        <f t="shared" si="7"/>
        <v/>
      </c>
      <c r="AS29" s="108" t="str">
        <f t="shared" si="7"/>
        <v/>
      </c>
      <c r="AT29" s="108" t="str">
        <f t="shared" si="7"/>
        <v/>
      </c>
      <c r="AU29" s="111" t="str">
        <f t="shared" si="7"/>
        <v/>
      </c>
      <c r="AV29" s="112"/>
    </row>
    <row r="30" spans="1:48" ht="15" customHeight="1" outlineLevel="1">
      <c r="A30" s="31" t="s">
        <v>37</v>
      </c>
      <c r="B30" s="32" t="s">
        <v>122</v>
      </c>
      <c r="C30" s="36">
        <v>46218</v>
      </c>
      <c r="D30" s="36">
        <v>46387</v>
      </c>
      <c r="E30" s="36">
        <v>46228</v>
      </c>
      <c r="F30" s="35">
        <f t="shared" si="9"/>
        <v>10</v>
      </c>
      <c r="G30" s="27"/>
      <c r="H30" s="23">
        <v>0.5</v>
      </c>
      <c r="I30" s="108" t="str">
        <f t="shared" si="4"/>
        <v/>
      </c>
      <c r="J30" s="108" t="str">
        <f t="shared" si="4"/>
        <v/>
      </c>
      <c r="K30" s="108" t="str">
        <f t="shared" si="4"/>
        <v/>
      </c>
      <c r="L30" s="108" t="str">
        <f t="shared" si="4"/>
        <v/>
      </c>
      <c r="M30" s="108" t="str">
        <f t="shared" si="4"/>
        <v/>
      </c>
      <c r="N30" s="108" t="str">
        <f t="shared" si="4"/>
        <v/>
      </c>
      <c r="O30" s="108" t="str">
        <f t="shared" si="4"/>
        <v/>
      </c>
      <c r="P30" s="108" t="str">
        <f t="shared" si="4"/>
        <v/>
      </c>
      <c r="Q30" s="108" t="str">
        <f t="shared" si="4"/>
        <v/>
      </c>
      <c r="R30" s="108" t="str">
        <f t="shared" si="4"/>
        <v/>
      </c>
      <c r="S30" s="108" t="str">
        <f t="shared" si="4"/>
        <v/>
      </c>
      <c r="T30" s="108" t="str">
        <f t="shared" si="4"/>
        <v/>
      </c>
      <c r="U30" s="108" t="str">
        <f t="shared" si="4"/>
        <v/>
      </c>
      <c r="V30" s="108" t="str">
        <f t="shared" si="4"/>
        <v/>
      </c>
      <c r="W30" s="108" t="str">
        <f t="shared" si="4"/>
        <v/>
      </c>
      <c r="X30" s="108" t="str">
        <f t="shared" si="4"/>
        <v/>
      </c>
      <c r="Y30" s="108" t="str">
        <f t="shared" si="6"/>
        <v/>
      </c>
      <c r="Z30" s="108" t="str">
        <f t="shared" si="6"/>
        <v/>
      </c>
      <c r="AA30" s="108" t="str">
        <f t="shared" si="6"/>
        <v/>
      </c>
      <c r="AB30" s="108" t="str">
        <f t="shared" si="6"/>
        <v/>
      </c>
      <c r="AC30" s="108" t="str">
        <f t="shared" si="6"/>
        <v/>
      </c>
      <c r="AD30" s="108">
        <f>IF(AND(AD$4&lt;=$C30,AD$4&lt;=$E30),$H30,"")</f>
        <v>0.5</v>
      </c>
      <c r="AE30" s="108"/>
      <c r="AF30" s="108"/>
      <c r="AG30" s="108"/>
      <c r="AH30" s="108"/>
      <c r="AI30" s="108"/>
      <c r="AJ30" s="108"/>
      <c r="AK30" s="108" t="str">
        <f t="shared" si="6"/>
        <v/>
      </c>
      <c r="AL30" s="108" t="str">
        <f t="shared" si="6"/>
        <v/>
      </c>
      <c r="AM30" s="108" t="str">
        <f t="shared" si="6"/>
        <v/>
      </c>
      <c r="AN30" s="108" t="str">
        <f t="shared" si="6"/>
        <v/>
      </c>
      <c r="AO30" s="108" t="str">
        <f t="shared" si="7"/>
        <v/>
      </c>
      <c r="AP30" s="108" t="str">
        <f t="shared" si="7"/>
        <v/>
      </c>
      <c r="AQ30" s="108" t="str">
        <f t="shared" si="7"/>
        <v/>
      </c>
      <c r="AR30" s="108" t="str">
        <f t="shared" si="7"/>
        <v/>
      </c>
      <c r="AS30" s="108" t="str">
        <f t="shared" si="7"/>
        <v/>
      </c>
      <c r="AT30" s="108" t="str">
        <f t="shared" si="7"/>
        <v/>
      </c>
      <c r="AU30" s="111" t="str">
        <f t="shared" si="7"/>
        <v/>
      </c>
      <c r="AV30" s="112"/>
    </row>
    <row r="31" spans="1:48" ht="15" customHeight="1" outlineLevel="1">
      <c r="A31" s="31" t="s">
        <v>38</v>
      </c>
      <c r="B31" s="32" t="s">
        <v>18</v>
      </c>
      <c r="C31" s="36">
        <v>46203</v>
      </c>
      <c r="D31" s="36">
        <v>46387</v>
      </c>
      <c r="E31" s="36">
        <v>46387</v>
      </c>
      <c r="F31" s="35">
        <f t="shared" si="9"/>
        <v>184</v>
      </c>
      <c r="G31" s="27"/>
      <c r="H31" s="23">
        <v>0</v>
      </c>
      <c r="I31" s="108" t="str">
        <f t="shared" si="4"/>
        <v/>
      </c>
      <c r="J31" s="108" t="str">
        <f t="shared" si="4"/>
        <v/>
      </c>
      <c r="K31" s="108" t="str">
        <f t="shared" si="4"/>
        <v/>
      </c>
      <c r="L31" s="108" t="str">
        <f t="shared" si="4"/>
        <v/>
      </c>
      <c r="M31" s="108" t="str">
        <f t="shared" si="4"/>
        <v/>
      </c>
      <c r="N31" s="108" t="str">
        <f t="shared" si="4"/>
        <v/>
      </c>
      <c r="O31" s="108" t="str">
        <f t="shared" si="4"/>
        <v/>
      </c>
      <c r="P31" s="108" t="str">
        <f t="shared" si="4"/>
        <v/>
      </c>
      <c r="Q31" s="108" t="str">
        <f t="shared" si="4"/>
        <v/>
      </c>
      <c r="R31" s="108" t="str">
        <f t="shared" si="4"/>
        <v/>
      </c>
      <c r="S31" s="108" t="str">
        <f t="shared" si="4"/>
        <v/>
      </c>
      <c r="T31" s="108" t="str">
        <f t="shared" si="4"/>
        <v/>
      </c>
      <c r="U31" s="108" t="str">
        <f t="shared" si="4"/>
        <v/>
      </c>
      <c r="V31" s="108" t="str">
        <f t="shared" si="4"/>
        <v/>
      </c>
      <c r="W31" s="108" t="str">
        <f t="shared" si="4"/>
        <v/>
      </c>
      <c r="X31" s="108" t="str">
        <f t="shared" si="4"/>
        <v/>
      </c>
      <c r="Y31" s="108" t="str">
        <f t="shared" si="6"/>
        <v/>
      </c>
      <c r="Z31" s="108" t="str">
        <f t="shared" si="6"/>
        <v/>
      </c>
      <c r="AA31" s="108" t="str">
        <f t="shared" si="6"/>
        <v/>
      </c>
      <c r="AB31" s="108" t="str">
        <f t="shared" si="6"/>
        <v/>
      </c>
      <c r="AC31" s="108" t="str">
        <f t="shared" si="6"/>
        <v/>
      </c>
      <c r="AD31" s="122">
        <f t="shared" si="6"/>
        <v>0</v>
      </c>
      <c r="AE31" s="123"/>
      <c r="AF31" s="123"/>
      <c r="AG31" s="123"/>
      <c r="AH31" s="123"/>
      <c r="AI31" s="124"/>
      <c r="AJ31" s="108" t="str">
        <f t="shared" si="6"/>
        <v/>
      </c>
      <c r="AK31" s="108" t="str">
        <f t="shared" si="6"/>
        <v/>
      </c>
      <c r="AL31" s="108" t="str">
        <f t="shared" si="6"/>
        <v/>
      </c>
      <c r="AM31" s="108" t="str">
        <f t="shared" si="6"/>
        <v/>
      </c>
      <c r="AN31" s="108" t="str">
        <f t="shared" si="6"/>
        <v/>
      </c>
      <c r="AO31" s="108" t="str">
        <f t="shared" si="7"/>
        <v/>
      </c>
      <c r="AP31" s="108" t="str">
        <f t="shared" si="7"/>
        <v/>
      </c>
      <c r="AQ31" s="108" t="str">
        <f t="shared" si="7"/>
        <v/>
      </c>
      <c r="AR31" s="108" t="str">
        <f t="shared" si="7"/>
        <v/>
      </c>
      <c r="AS31" s="108" t="str">
        <f t="shared" si="7"/>
        <v/>
      </c>
      <c r="AT31" s="108" t="str">
        <f t="shared" si="7"/>
        <v/>
      </c>
      <c r="AU31" s="111" t="str">
        <f t="shared" si="7"/>
        <v/>
      </c>
      <c r="AV31" s="112"/>
    </row>
    <row r="32" spans="1:48" ht="15" customHeight="1" outlineLevel="1">
      <c r="A32" s="31"/>
      <c r="B32" s="32" t="s">
        <v>123</v>
      </c>
      <c r="C32" s="36">
        <v>46346</v>
      </c>
      <c r="D32" s="36"/>
      <c r="E32" s="36">
        <v>46356</v>
      </c>
      <c r="F32" s="35">
        <f t="shared" si="9"/>
        <v>10</v>
      </c>
      <c r="G32" s="27"/>
      <c r="H32" s="23">
        <v>0</v>
      </c>
      <c r="I32" s="108" t="str">
        <f t="shared" si="4"/>
        <v/>
      </c>
      <c r="J32" s="108" t="str">
        <f t="shared" si="4"/>
        <v/>
      </c>
      <c r="K32" s="108" t="str">
        <f t="shared" si="4"/>
        <v/>
      </c>
      <c r="L32" s="108" t="str">
        <f t="shared" si="4"/>
        <v/>
      </c>
      <c r="M32" s="108" t="str">
        <f t="shared" si="4"/>
        <v/>
      </c>
      <c r="N32" s="108" t="str">
        <f t="shared" si="4"/>
        <v/>
      </c>
      <c r="O32" s="108" t="str">
        <f t="shared" si="4"/>
        <v/>
      </c>
      <c r="P32" s="108" t="str">
        <f t="shared" si="4"/>
        <v/>
      </c>
      <c r="Q32" s="108" t="str">
        <f t="shared" si="4"/>
        <v/>
      </c>
      <c r="R32" s="108" t="str">
        <f t="shared" si="4"/>
        <v/>
      </c>
      <c r="S32" s="108" t="str">
        <f t="shared" si="4"/>
        <v/>
      </c>
      <c r="T32" s="108" t="str">
        <f t="shared" si="4"/>
        <v/>
      </c>
      <c r="U32" s="108" t="str">
        <f t="shared" si="4"/>
        <v/>
      </c>
      <c r="V32" s="108" t="str">
        <f t="shared" si="4"/>
        <v/>
      </c>
      <c r="W32" s="108" t="str">
        <f t="shared" si="4"/>
        <v/>
      </c>
      <c r="X32" s="108" t="str">
        <f t="shared" si="4"/>
        <v/>
      </c>
      <c r="Y32" s="108" t="str">
        <f t="shared" si="6"/>
        <v/>
      </c>
      <c r="Z32" s="108" t="str">
        <f t="shared" si="6"/>
        <v/>
      </c>
      <c r="AA32" s="108" t="str">
        <f t="shared" si="6"/>
        <v/>
      </c>
      <c r="AB32" s="108" t="str">
        <f t="shared" si="6"/>
        <v/>
      </c>
      <c r="AC32" s="108" t="str">
        <f t="shared" si="6"/>
        <v/>
      </c>
      <c r="AD32" s="108" t="str">
        <f t="shared" si="6"/>
        <v/>
      </c>
      <c r="AE32" s="108" t="str">
        <f t="shared" si="6"/>
        <v/>
      </c>
      <c r="AF32" s="108" t="str">
        <f t="shared" si="6"/>
        <v/>
      </c>
      <c r="AG32" s="108" t="str">
        <f t="shared" si="6"/>
        <v/>
      </c>
      <c r="AH32" s="108" t="str">
        <f t="shared" si="6"/>
        <v/>
      </c>
      <c r="AI32" s="108" t="str">
        <f t="shared" si="6"/>
        <v/>
      </c>
      <c r="AJ32" s="108" t="str">
        <f t="shared" si="6"/>
        <v/>
      </c>
      <c r="AK32" s="108" t="str">
        <f t="shared" si="6"/>
        <v/>
      </c>
      <c r="AL32" s="108" t="str">
        <f t="shared" si="6"/>
        <v/>
      </c>
      <c r="AM32" s="108" t="str">
        <f t="shared" si="6"/>
        <v/>
      </c>
      <c r="AN32" s="108" t="str">
        <f t="shared" si="6"/>
        <v/>
      </c>
      <c r="AO32" s="108" t="str">
        <f t="shared" si="7"/>
        <v/>
      </c>
      <c r="AP32" s="108" t="str">
        <f t="shared" si="7"/>
        <v/>
      </c>
      <c r="AQ32" s="108" t="str">
        <f t="shared" si="7"/>
        <v/>
      </c>
      <c r="AR32" s="108" t="str">
        <f t="shared" si="7"/>
        <v/>
      </c>
      <c r="AS32" s="108" t="str">
        <f t="shared" si="7"/>
        <v/>
      </c>
      <c r="AT32" s="108" t="str">
        <f t="shared" si="7"/>
        <v/>
      </c>
      <c r="AU32" s="111" t="str">
        <f t="shared" si="7"/>
        <v/>
      </c>
      <c r="AV32" s="112"/>
    </row>
    <row r="33" spans="1:48" ht="15" customHeight="1" outlineLevel="1">
      <c r="A33" s="31" t="s">
        <v>39</v>
      </c>
      <c r="B33" s="32" t="s">
        <v>111</v>
      </c>
      <c r="C33" s="74">
        <v>46341</v>
      </c>
      <c r="D33" s="81">
        <v>46310</v>
      </c>
      <c r="E33" s="77">
        <v>46371</v>
      </c>
      <c r="F33" s="35">
        <f t="shared" si="9"/>
        <v>30</v>
      </c>
      <c r="G33" s="27"/>
      <c r="H33" s="23">
        <v>0</v>
      </c>
      <c r="I33" s="108" t="str">
        <f t="shared" si="4"/>
        <v/>
      </c>
      <c r="J33" s="108" t="str">
        <f t="shared" si="4"/>
        <v/>
      </c>
      <c r="K33" s="108" t="str">
        <f t="shared" si="4"/>
        <v/>
      </c>
      <c r="L33" s="108" t="str">
        <f t="shared" si="4"/>
        <v/>
      </c>
      <c r="M33" s="108" t="str">
        <f t="shared" si="4"/>
        <v/>
      </c>
      <c r="N33" s="108" t="str">
        <f t="shared" si="4"/>
        <v/>
      </c>
      <c r="O33" s="108" t="str">
        <f t="shared" si="4"/>
        <v/>
      </c>
      <c r="P33" s="108" t="str">
        <f t="shared" si="4"/>
        <v/>
      </c>
      <c r="Q33" s="108" t="str">
        <f t="shared" si="4"/>
        <v/>
      </c>
      <c r="R33" s="108" t="str">
        <f t="shared" si="4"/>
        <v/>
      </c>
      <c r="S33" s="108" t="str">
        <f t="shared" si="4"/>
        <v/>
      </c>
      <c r="T33" s="108" t="str">
        <f t="shared" si="4"/>
        <v/>
      </c>
      <c r="U33" s="108" t="str">
        <f t="shared" si="4"/>
        <v/>
      </c>
      <c r="V33" s="108" t="str">
        <f t="shared" si="4"/>
        <v/>
      </c>
      <c r="W33" s="108" t="str">
        <f t="shared" si="4"/>
        <v/>
      </c>
      <c r="X33" s="108" t="str">
        <f t="shared" si="4"/>
        <v/>
      </c>
      <c r="Y33" s="108" t="str">
        <f t="shared" si="6"/>
        <v/>
      </c>
      <c r="Z33" s="108" t="str">
        <f t="shared" si="6"/>
        <v/>
      </c>
      <c r="AA33" s="108" t="str">
        <f t="shared" si="6"/>
        <v/>
      </c>
      <c r="AB33" s="108" t="str">
        <f t="shared" si="6"/>
        <v/>
      </c>
      <c r="AC33" s="108" t="str">
        <f t="shared" si="6"/>
        <v/>
      </c>
      <c r="AD33" s="108" t="str">
        <f t="shared" si="6"/>
        <v/>
      </c>
      <c r="AE33" s="108" t="str">
        <f t="shared" si="6"/>
        <v/>
      </c>
      <c r="AF33" s="108" t="str">
        <f t="shared" si="6"/>
        <v/>
      </c>
      <c r="AG33" s="108" t="str">
        <f t="shared" si="6"/>
        <v/>
      </c>
      <c r="AH33" s="108" t="str">
        <f t="shared" si="6"/>
        <v/>
      </c>
      <c r="AI33" s="108">
        <f t="shared" si="6"/>
        <v>0</v>
      </c>
      <c r="AJ33" s="108" t="str">
        <f t="shared" si="6"/>
        <v/>
      </c>
      <c r="AK33" s="108" t="str">
        <f t="shared" si="6"/>
        <v/>
      </c>
      <c r="AL33" s="108" t="str">
        <f t="shared" si="6"/>
        <v/>
      </c>
      <c r="AM33" s="108" t="str">
        <f t="shared" si="6"/>
        <v/>
      </c>
      <c r="AN33" s="108" t="str">
        <f t="shared" si="6"/>
        <v/>
      </c>
      <c r="AO33" s="108" t="str">
        <f t="shared" si="7"/>
        <v/>
      </c>
      <c r="AP33" s="108" t="str">
        <f t="shared" si="7"/>
        <v/>
      </c>
      <c r="AQ33" s="108" t="str">
        <f t="shared" si="7"/>
        <v/>
      </c>
      <c r="AR33" s="108" t="str">
        <f t="shared" si="7"/>
        <v/>
      </c>
      <c r="AS33" s="108" t="str">
        <f t="shared" si="7"/>
        <v/>
      </c>
      <c r="AT33" s="108" t="str">
        <f t="shared" si="7"/>
        <v/>
      </c>
      <c r="AU33" s="111" t="str">
        <f t="shared" si="7"/>
        <v/>
      </c>
      <c r="AV33" s="112"/>
    </row>
    <row r="34" spans="1:48" ht="15" customHeight="1" outlineLevel="1">
      <c r="A34" s="31" t="s">
        <v>40</v>
      </c>
      <c r="B34" s="32" t="s">
        <v>22</v>
      </c>
      <c r="C34" s="36">
        <v>46290</v>
      </c>
      <c r="D34" s="36">
        <v>46326</v>
      </c>
      <c r="E34" s="75">
        <v>46351</v>
      </c>
      <c r="F34" s="35">
        <f t="shared" si="9"/>
        <v>61</v>
      </c>
      <c r="G34" s="28"/>
      <c r="H34" s="23">
        <v>0</v>
      </c>
      <c r="I34" s="108" t="str">
        <f t="shared" si="4"/>
        <v/>
      </c>
      <c r="J34" s="108" t="str">
        <f t="shared" si="4"/>
        <v/>
      </c>
      <c r="K34" s="108" t="str">
        <f t="shared" si="4"/>
        <v/>
      </c>
      <c r="L34" s="108" t="str">
        <f t="shared" si="4"/>
        <v/>
      </c>
      <c r="M34" s="108" t="str">
        <f t="shared" si="4"/>
        <v/>
      </c>
      <c r="N34" s="108" t="str">
        <f t="shared" si="4"/>
        <v/>
      </c>
      <c r="O34" s="108" t="str">
        <f t="shared" si="4"/>
        <v/>
      </c>
      <c r="P34" s="108" t="str">
        <f t="shared" si="4"/>
        <v/>
      </c>
      <c r="Q34" s="108" t="str">
        <f t="shared" si="4"/>
        <v/>
      </c>
      <c r="R34" s="108" t="str">
        <f t="shared" si="4"/>
        <v/>
      </c>
      <c r="S34" s="108" t="str">
        <f t="shared" si="4"/>
        <v/>
      </c>
      <c r="T34" s="108" t="str">
        <f t="shared" si="4"/>
        <v/>
      </c>
      <c r="U34" s="108" t="str">
        <f t="shared" si="4"/>
        <v/>
      </c>
      <c r="V34" s="108" t="str">
        <f t="shared" si="4"/>
        <v/>
      </c>
      <c r="W34" s="108" t="str">
        <f t="shared" si="4"/>
        <v/>
      </c>
      <c r="X34" s="108" t="str">
        <f t="shared" si="4"/>
        <v/>
      </c>
      <c r="Y34" s="108" t="str">
        <f t="shared" si="6"/>
        <v/>
      </c>
      <c r="Z34" s="108" t="str">
        <f t="shared" si="6"/>
        <v/>
      </c>
      <c r="AA34" s="108" t="str">
        <f t="shared" si="6"/>
        <v/>
      </c>
      <c r="AB34" s="108" t="str">
        <f t="shared" si="6"/>
        <v/>
      </c>
      <c r="AC34" s="108" t="str">
        <f t="shared" si="6"/>
        <v/>
      </c>
      <c r="AD34" s="108" t="str">
        <f t="shared" si="6"/>
        <v/>
      </c>
      <c r="AE34" s="108" t="str">
        <f t="shared" si="6"/>
        <v/>
      </c>
      <c r="AF34" s="108" t="str">
        <f t="shared" si="6"/>
        <v/>
      </c>
      <c r="AG34" s="122">
        <f t="shared" si="6"/>
        <v>0</v>
      </c>
      <c r="AH34" s="124"/>
      <c r="AI34" s="108" t="str">
        <f t="shared" si="6"/>
        <v/>
      </c>
      <c r="AJ34" s="108" t="str">
        <f t="shared" si="6"/>
        <v/>
      </c>
      <c r="AK34" s="108" t="str">
        <f t="shared" si="6"/>
        <v/>
      </c>
      <c r="AL34" s="108" t="str">
        <f t="shared" si="6"/>
        <v/>
      </c>
      <c r="AM34" s="108" t="str">
        <f t="shared" si="6"/>
        <v/>
      </c>
      <c r="AN34" s="108" t="str">
        <f t="shared" si="6"/>
        <v/>
      </c>
      <c r="AO34" s="108" t="str">
        <f t="shared" si="7"/>
        <v/>
      </c>
      <c r="AP34" s="108" t="str">
        <f t="shared" si="7"/>
        <v/>
      </c>
      <c r="AQ34" s="108" t="str">
        <f t="shared" si="7"/>
        <v/>
      </c>
      <c r="AR34" s="108" t="str">
        <f t="shared" si="7"/>
        <v/>
      </c>
      <c r="AS34" s="108" t="str">
        <f t="shared" si="7"/>
        <v/>
      </c>
      <c r="AT34" s="108" t="str">
        <f t="shared" si="7"/>
        <v/>
      </c>
      <c r="AU34" s="111" t="str">
        <f t="shared" si="7"/>
        <v/>
      </c>
      <c r="AV34" s="112"/>
    </row>
    <row r="35" spans="1:48" ht="15" customHeight="1">
      <c r="A35" s="129" t="s">
        <v>41</v>
      </c>
      <c r="B35" s="130"/>
      <c r="C35" s="130"/>
      <c r="D35" s="131"/>
      <c r="E35" s="80"/>
      <c r="F35" s="62" t="str">
        <f>ROUNDUP((E38-C36)/30,0) &amp;"MONTHS"</f>
        <v>10MONTHS</v>
      </c>
      <c r="G35" s="26">
        <f>SUM(AC4-C36)/30</f>
        <v>0.9</v>
      </c>
      <c r="H35" s="12">
        <f t="array" ref="H35">SUMPRODUCT(H36:H41/3)</f>
        <v>0.16666666666666666</v>
      </c>
      <c r="I35" s="108" t="str">
        <f t="shared" si="4"/>
        <v/>
      </c>
      <c r="J35" s="108" t="str">
        <f t="shared" si="4"/>
        <v/>
      </c>
      <c r="K35" s="108" t="str">
        <f t="shared" si="4"/>
        <v/>
      </c>
      <c r="L35" s="108" t="str">
        <f t="shared" si="4"/>
        <v/>
      </c>
      <c r="M35" s="108" t="str">
        <f t="shared" si="4"/>
        <v/>
      </c>
      <c r="N35" s="108" t="str">
        <f t="shared" si="4"/>
        <v/>
      </c>
      <c r="O35" s="108" t="str">
        <f t="shared" si="4"/>
        <v/>
      </c>
      <c r="P35" s="108" t="str">
        <f t="shared" si="4"/>
        <v/>
      </c>
      <c r="Q35" s="108" t="str">
        <f t="shared" si="4"/>
        <v/>
      </c>
      <c r="R35" s="108" t="str">
        <f t="shared" si="4"/>
        <v/>
      </c>
      <c r="S35" s="108" t="str">
        <f t="shared" si="4"/>
        <v/>
      </c>
      <c r="T35" s="108" t="str">
        <f t="shared" si="4"/>
        <v/>
      </c>
      <c r="U35" s="108" t="str">
        <f t="shared" si="4"/>
        <v/>
      </c>
      <c r="V35" s="108" t="str">
        <f t="shared" si="4"/>
        <v/>
      </c>
      <c r="W35" s="108" t="str">
        <f t="shared" si="4"/>
        <v/>
      </c>
      <c r="X35" s="108" t="str">
        <f t="shared" si="4"/>
        <v/>
      </c>
      <c r="Y35" s="108" t="str">
        <f t="shared" si="6"/>
        <v/>
      </c>
      <c r="Z35" s="108" t="str">
        <f t="shared" si="6"/>
        <v/>
      </c>
      <c r="AA35" s="108" t="str">
        <f t="shared" si="6"/>
        <v/>
      </c>
      <c r="AB35" s="108" t="str">
        <f t="shared" si="6"/>
        <v/>
      </c>
      <c r="AC35" s="108" t="str">
        <f t="shared" si="6"/>
        <v/>
      </c>
      <c r="AD35" s="108" t="str">
        <f t="shared" si="6"/>
        <v/>
      </c>
      <c r="AE35" s="108" t="str">
        <f t="shared" si="6"/>
        <v/>
      </c>
      <c r="AF35" s="108" t="str">
        <f t="shared" si="6"/>
        <v/>
      </c>
      <c r="AG35" s="108" t="str">
        <f t="shared" si="6"/>
        <v/>
      </c>
      <c r="AH35" s="108" t="str">
        <f t="shared" si="6"/>
        <v/>
      </c>
      <c r="AI35" s="108" t="str">
        <f t="shared" si="6"/>
        <v/>
      </c>
      <c r="AJ35" s="108" t="str">
        <f t="shared" si="6"/>
        <v/>
      </c>
      <c r="AK35" s="108" t="str">
        <f t="shared" si="6"/>
        <v/>
      </c>
      <c r="AL35" s="108" t="str">
        <f t="shared" si="6"/>
        <v/>
      </c>
      <c r="AM35" s="108" t="str">
        <f t="shared" si="6"/>
        <v/>
      </c>
      <c r="AN35" s="108" t="str">
        <f t="shared" si="6"/>
        <v/>
      </c>
      <c r="AO35" s="108" t="str">
        <f t="shared" si="7"/>
        <v/>
      </c>
      <c r="AP35" s="108" t="str">
        <f t="shared" si="7"/>
        <v/>
      </c>
      <c r="AQ35" s="108" t="str">
        <f t="shared" si="7"/>
        <v/>
      </c>
      <c r="AR35" s="108" t="str">
        <f t="shared" si="7"/>
        <v/>
      </c>
      <c r="AS35" s="108" t="str">
        <f t="shared" si="7"/>
        <v/>
      </c>
      <c r="AT35" s="108" t="str">
        <f t="shared" si="7"/>
        <v/>
      </c>
      <c r="AU35" s="111" t="str">
        <f t="shared" si="7"/>
        <v/>
      </c>
      <c r="AV35" s="112"/>
    </row>
    <row r="36" spans="1:48" ht="15" customHeight="1" outlineLevel="1">
      <c r="A36" s="31" t="s">
        <v>42</v>
      </c>
      <c r="B36" s="32" t="s">
        <v>11</v>
      </c>
      <c r="C36" s="36">
        <v>46147</v>
      </c>
      <c r="D36" s="36">
        <v>46270</v>
      </c>
      <c r="E36" s="74">
        <v>46310</v>
      </c>
      <c r="F36" s="35">
        <f t="shared" ref="F36:F41" si="10">SUM(E36-C36)</f>
        <v>163</v>
      </c>
      <c r="G36" s="24" t="s">
        <v>115</v>
      </c>
      <c r="H36" s="22">
        <v>0.5</v>
      </c>
      <c r="I36" s="108" t="str">
        <f t="shared" si="4"/>
        <v/>
      </c>
      <c r="J36" s="108" t="str">
        <f t="shared" si="4"/>
        <v/>
      </c>
      <c r="K36" s="108" t="str">
        <f t="shared" si="4"/>
        <v/>
      </c>
      <c r="L36" s="108" t="str">
        <f t="shared" si="4"/>
        <v/>
      </c>
      <c r="M36" s="108" t="str">
        <f t="shared" si="4"/>
        <v/>
      </c>
      <c r="N36" s="108" t="str">
        <f t="shared" si="4"/>
        <v/>
      </c>
      <c r="O36" s="108" t="str">
        <f t="shared" si="4"/>
        <v/>
      </c>
      <c r="P36" s="108" t="str">
        <f t="shared" si="4"/>
        <v/>
      </c>
      <c r="Q36" s="108" t="str">
        <f t="shared" si="4"/>
        <v/>
      </c>
      <c r="R36" s="108" t="str">
        <f t="shared" ref="R36:AG51" si="11">IF(AND(R$4&gt;=$C36,R$4&lt;=$E36),$H36,"")</f>
        <v/>
      </c>
      <c r="S36" s="108" t="str">
        <f t="shared" si="11"/>
        <v/>
      </c>
      <c r="T36" s="108" t="str">
        <f t="shared" si="11"/>
        <v/>
      </c>
      <c r="U36" s="108" t="str">
        <f t="shared" si="11"/>
        <v/>
      </c>
      <c r="V36" s="108" t="str">
        <f t="shared" si="11"/>
        <v/>
      </c>
      <c r="W36" s="108" t="str">
        <f t="shared" si="11"/>
        <v/>
      </c>
      <c r="X36" s="108" t="str">
        <f t="shared" si="11"/>
        <v/>
      </c>
      <c r="Y36" s="108" t="str">
        <f t="shared" si="11"/>
        <v/>
      </c>
      <c r="Z36" s="108" t="str">
        <f t="shared" si="11"/>
        <v/>
      </c>
      <c r="AA36" s="108" t="str">
        <f t="shared" si="11"/>
        <v/>
      </c>
      <c r="AB36" s="122">
        <f>IF(AND(AB$4&lt;=$C36,AB$4&lt;=$E36),$H36,"")</f>
        <v>0.5</v>
      </c>
      <c r="AC36" s="123"/>
      <c r="AD36" s="123"/>
      <c r="AE36" s="123"/>
      <c r="AF36" s="123"/>
      <c r="AG36" s="124"/>
      <c r="AH36" s="108" t="str">
        <f t="shared" si="6"/>
        <v/>
      </c>
      <c r="AI36" s="108" t="str">
        <f t="shared" si="6"/>
        <v/>
      </c>
      <c r="AJ36" s="108" t="str">
        <f t="shared" si="6"/>
        <v/>
      </c>
      <c r="AK36" s="108" t="str">
        <f t="shared" si="6"/>
        <v/>
      </c>
      <c r="AL36" s="108" t="str">
        <f t="shared" si="6"/>
        <v/>
      </c>
      <c r="AM36" s="108" t="str">
        <f t="shared" si="6"/>
        <v/>
      </c>
      <c r="AN36" s="108" t="str">
        <f t="shared" si="6"/>
        <v/>
      </c>
      <c r="AO36" s="108" t="str">
        <f t="shared" si="7"/>
        <v/>
      </c>
      <c r="AP36" s="108" t="str">
        <f t="shared" si="7"/>
        <v/>
      </c>
      <c r="AQ36" s="108" t="str">
        <f t="shared" si="7"/>
        <v/>
      </c>
      <c r="AR36" s="108" t="str">
        <f t="shared" si="7"/>
        <v/>
      </c>
      <c r="AS36" s="108" t="str">
        <f t="shared" si="7"/>
        <v/>
      </c>
      <c r="AT36" s="108" t="str">
        <f t="shared" si="7"/>
        <v/>
      </c>
      <c r="AU36" s="111" t="str">
        <f t="shared" si="7"/>
        <v/>
      </c>
      <c r="AV36" s="112"/>
    </row>
    <row r="37" spans="1:48" ht="15" customHeight="1" outlineLevel="1">
      <c r="A37" s="31" t="s">
        <v>43</v>
      </c>
      <c r="B37" s="32" t="s">
        <v>122</v>
      </c>
      <c r="C37" s="36">
        <v>46218</v>
      </c>
      <c r="D37" s="36">
        <v>46387</v>
      </c>
      <c r="E37" s="36">
        <v>46228</v>
      </c>
      <c r="F37" s="35">
        <f t="shared" si="10"/>
        <v>10</v>
      </c>
      <c r="G37" s="27"/>
      <c r="H37" s="23">
        <v>0</v>
      </c>
      <c r="I37" s="108" t="str">
        <f t="shared" ref="I37:X52" si="12">IF(AND(I$4&gt;=$C37,I$4&lt;=$E37),$H37,"")</f>
        <v/>
      </c>
      <c r="J37" s="108" t="str">
        <f t="shared" si="12"/>
        <v/>
      </c>
      <c r="K37" s="108" t="str">
        <f t="shared" si="12"/>
        <v/>
      </c>
      <c r="L37" s="108" t="str">
        <f t="shared" si="12"/>
        <v/>
      </c>
      <c r="M37" s="108" t="str">
        <f t="shared" si="12"/>
        <v/>
      </c>
      <c r="N37" s="108" t="str">
        <f t="shared" si="12"/>
        <v/>
      </c>
      <c r="O37" s="108" t="str">
        <f t="shared" si="12"/>
        <v/>
      </c>
      <c r="P37" s="108" t="str">
        <f t="shared" si="12"/>
        <v/>
      </c>
      <c r="Q37" s="108" t="str">
        <f t="shared" si="12"/>
        <v/>
      </c>
      <c r="R37" s="108" t="str">
        <f t="shared" si="12"/>
        <v/>
      </c>
      <c r="S37" s="108" t="str">
        <f t="shared" si="12"/>
        <v/>
      </c>
      <c r="T37" s="108" t="str">
        <f t="shared" si="12"/>
        <v/>
      </c>
      <c r="U37" s="108" t="str">
        <f t="shared" si="12"/>
        <v/>
      </c>
      <c r="V37" s="108" t="str">
        <f t="shared" si="12"/>
        <v/>
      </c>
      <c r="W37" s="108" t="str">
        <f t="shared" si="12"/>
        <v/>
      </c>
      <c r="X37" s="108" t="str">
        <f t="shared" si="12"/>
        <v/>
      </c>
      <c r="Y37" s="108" t="str">
        <f t="shared" si="11"/>
        <v/>
      </c>
      <c r="Z37" s="108" t="str">
        <f t="shared" si="11"/>
        <v/>
      </c>
      <c r="AA37" s="108" t="str">
        <f t="shared" si="11"/>
        <v/>
      </c>
      <c r="AB37" s="108" t="str">
        <f t="shared" si="11"/>
        <v/>
      </c>
      <c r="AC37" s="108" t="str">
        <f t="shared" si="11"/>
        <v/>
      </c>
      <c r="AD37" s="108">
        <f>IF(AND(AD$4&lt;=$C37,AD$4&lt;=$E37),$H37,"")</f>
        <v>0</v>
      </c>
      <c r="AE37" s="108" t="str">
        <f t="shared" si="11"/>
        <v/>
      </c>
      <c r="AF37" s="108" t="str">
        <f t="shared" si="11"/>
        <v/>
      </c>
      <c r="AG37" s="108" t="str">
        <f t="shared" si="11"/>
        <v/>
      </c>
      <c r="AH37" s="108" t="str">
        <f t="shared" si="6"/>
        <v/>
      </c>
      <c r="AI37" s="108" t="str">
        <f t="shared" si="6"/>
        <v/>
      </c>
      <c r="AJ37" s="108" t="str">
        <f t="shared" si="6"/>
        <v/>
      </c>
      <c r="AK37" s="108" t="str">
        <f t="shared" si="6"/>
        <v/>
      </c>
      <c r="AL37" s="108" t="str">
        <f t="shared" si="6"/>
        <v/>
      </c>
      <c r="AM37" s="108" t="str">
        <f t="shared" si="6"/>
        <v/>
      </c>
      <c r="AN37" s="108" t="str">
        <f t="shared" si="6"/>
        <v/>
      </c>
      <c r="AO37" s="108" t="str">
        <f t="shared" si="7"/>
        <v/>
      </c>
      <c r="AP37" s="108" t="str">
        <f t="shared" si="7"/>
        <v/>
      </c>
      <c r="AQ37" s="108" t="str">
        <f t="shared" si="7"/>
        <v/>
      </c>
      <c r="AR37" s="108" t="str">
        <f t="shared" si="7"/>
        <v/>
      </c>
      <c r="AS37" s="108" t="str">
        <f t="shared" si="7"/>
        <v/>
      </c>
      <c r="AT37" s="108" t="str">
        <f t="shared" si="7"/>
        <v/>
      </c>
      <c r="AU37" s="111" t="str">
        <f t="shared" si="7"/>
        <v/>
      </c>
      <c r="AV37" s="112"/>
    </row>
    <row r="38" spans="1:48" ht="15" customHeight="1" outlineLevel="1">
      <c r="A38" s="31" t="s">
        <v>44</v>
      </c>
      <c r="B38" s="32" t="s">
        <v>18</v>
      </c>
      <c r="C38" s="36">
        <v>46254</v>
      </c>
      <c r="D38" s="36">
        <v>46387</v>
      </c>
      <c r="E38" s="36">
        <v>46418</v>
      </c>
      <c r="F38" s="35">
        <f t="shared" si="10"/>
        <v>164</v>
      </c>
      <c r="G38" s="27"/>
      <c r="H38" s="23">
        <v>0</v>
      </c>
      <c r="I38" s="108" t="str">
        <f t="shared" si="12"/>
        <v/>
      </c>
      <c r="J38" s="108" t="str">
        <f t="shared" si="12"/>
        <v/>
      </c>
      <c r="K38" s="108" t="str">
        <f t="shared" si="12"/>
        <v/>
      </c>
      <c r="L38" s="108" t="str">
        <f t="shared" si="12"/>
        <v/>
      </c>
      <c r="M38" s="108" t="str">
        <f t="shared" si="12"/>
        <v/>
      </c>
      <c r="N38" s="108" t="str">
        <f t="shared" si="12"/>
        <v/>
      </c>
      <c r="O38" s="108" t="str">
        <f t="shared" si="12"/>
        <v/>
      </c>
      <c r="P38" s="108" t="str">
        <f t="shared" si="12"/>
        <v/>
      </c>
      <c r="Q38" s="108" t="str">
        <f t="shared" si="12"/>
        <v/>
      </c>
      <c r="R38" s="108" t="str">
        <f t="shared" si="12"/>
        <v/>
      </c>
      <c r="S38" s="108" t="str">
        <f t="shared" si="12"/>
        <v/>
      </c>
      <c r="T38" s="108" t="str">
        <f t="shared" si="12"/>
        <v/>
      </c>
      <c r="U38" s="108" t="str">
        <f t="shared" si="12"/>
        <v/>
      </c>
      <c r="V38" s="108" t="str">
        <f t="shared" si="12"/>
        <v/>
      </c>
      <c r="W38" s="108" t="str">
        <f t="shared" si="12"/>
        <v/>
      </c>
      <c r="X38" s="108" t="str">
        <f t="shared" si="12"/>
        <v/>
      </c>
      <c r="Y38" s="108" t="str">
        <f t="shared" si="11"/>
        <v/>
      </c>
      <c r="Z38" s="108" t="str">
        <f t="shared" si="11"/>
        <v/>
      </c>
      <c r="AA38" s="108" t="str">
        <f t="shared" si="11"/>
        <v/>
      </c>
      <c r="AB38" s="108" t="str">
        <f t="shared" si="11"/>
        <v/>
      </c>
      <c r="AC38" s="108" t="str">
        <f t="shared" si="11"/>
        <v/>
      </c>
      <c r="AD38" s="108" t="str">
        <f t="shared" si="11"/>
        <v/>
      </c>
      <c r="AE38" s="108" t="str">
        <f t="shared" si="11"/>
        <v/>
      </c>
      <c r="AF38" s="122">
        <f t="shared" si="11"/>
        <v>0</v>
      </c>
      <c r="AG38" s="123"/>
      <c r="AH38" s="123"/>
      <c r="AI38" s="123"/>
      <c r="AJ38" s="124"/>
      <c r="AK38" s="108" t="str">
        <f t="shared" ref="AK38:AU38" si="13">IF(AND(AK$4&gt;=$C38,AK$4&lt;=$E38),$H38,"")</f>
        <v/>
      </c>
      <c r="AL38" s="108" t="str">
        <f t="shared" si="13"/>
        <v/>
      </c>
      <c r="AM38" s="108" t="str">
        <f t="shared" si="13"/>
        <v/>
      </c>
      <c r="AN38" s="108" t="str">
        <f t="shared" si="13"/>
        <v/>
      </c>
      <c r="AO38" s="108" t="str">
        <f t="shared" si="13"/>
        <v/>
      </c>
      <c r="AP38" s="108" t="str">
        <f t="shared" si="13"/>
        <v/>
      </c>
      <c r="AQ38" s="108" t="str">
        <f t="shared" si="13"/>
        <v/>
      </c>
      <c r="AR38" s="108" t="str">
        <f t="shared" si="13"/>
        <v/>
      </c>
      <c r="AS38" s="108" t="str">
        <f t="shared" si="13"/>
        <v/>
      </c>
      <c r="AT38" s="108" t="str">
        <f t="shared" si="13"/>
        <v/>
      </c>
      <c r="AU38" s="111" t="str">
        <f t="shared" si="13"/>
        <v/>
      </c>
      <c r="AV38" s="112"/>
    </row>
    <row r="39" spans="1:48" ht="15" customHeight="1" outlineLevel="1">
      <c r="A39" s="31"/>
      <c r="B39" s="32" t="s">
        <v>123</v>
      </c>
      <c r="C39" s="36">
        <v>46387</v>
      </c>
      <c r="D39" s="36"/>
      <c r="E39" s="36">
        <v>46397</v>
      </c>
      <c r="F39" s="35">
        <f t="shared" si="10"/>
        <v>10</v>
      </c>
      <c r="G39" s="27"/>
      <c r="H39" s="23">
        <v>0</v>
      </c>
      <c r="I39" s="108" t="str">
        <f t="shared" si="12"/>
        <v/>
      </c>
      <c r="J39" s="108" t="str">
        <f t="shared" si="12"/>
        <v/>
      </c>
      <c r="K39" s="108" t="str">
        <f t="shared" si="12"/>
        <v/>
      </c>
      <c r="L39" s="108" t="str">
        <f t="shared" si="12"/>
        <v/>
      </c>
      <c r="M39" s="108" t="str">
        <f t="shared" si="12"/>
        <v/>
      </c>
      <c r="N39" s="108" t="str">
        <f t="shared" si="12"/>
        <v/>
      </c>
      <c r="O39" s="108" t="str">
        <f t="shared" si="12"/>
        <v/>
      </c>
      <c r="P39" s="108" t="str">
        <f t="shared" si="12"/>
        <v/>
      </c>
      <c r="Q39" s="108" t="str">
        <f t="shared" si="12"/>
        <v/>
      </c>
      <c r="R39" s="108" t="str">
        <f t="shared" si="12"/>
        <v/>
      </c>
      <c r="S39" s="108" t="str">
        <f t="shared" si="12"/>
        <v/>
      </c>
      <c r="T39" s="108" t="str">
        <f t="shared" si="12"/>
        <v/>
      </c>
      <c r="U39" s="108" t="str">
        <f t="shared" si="12"/>
        <v/>
      </c>
      <c r="V39" s="108" t="str">
        <f t="shared" si="12"/>
        <v/>
      </c>
      <c r="W39" s="108" t="str">
        <f t="shared" si="12"/>
        <v/>
      </c>
      <c r="X39" s="108" t="str">
        <f t="shared" si="12"/>
        <v/>
      </c>
      <c r="Y39" s="108" t="str">
        <f t="shared" si="11"/>
        <v/>
      </c>
      <c r="Z39" s="108" t="str">
        <f t="shared" si="11"/>
        <v/>
      </c>
      <c r="AA39" s="108" t="str">
        <f t="shared" si="11"/>
        <v/>
      </c>
      <c r="AB39" s="108" t="str">
        <f t="shared" si="11"/>
        <v/>
      </c>
      <c r="AC39" s="108" t="str">
        <f t="shared" si="11"/>
        <v/>
      </c>
      <c r="AD39" s="108" t="str">
        <f t="shared" si="11"/>
        <v/>
      </c>
      <c r="AE39" s="108" t="str">
        <f t="shared" si="11"/>
        <v/>
      </c>
      <c r="AF39" s="108" t="str">
        <f t="shared" si="11"/>
        <v/>
      </c>
      <c r="AG39" s="108" t="str">
        <f t="shared" si="11"/>
        <v/>
      </c>
      <c r="AH39" s="108" t="str">
        <f t="shared" ref="AH39:AU60" si="14">IF(AND(AH$4&gt;=$C39,AH$4&lt;=$E39),$H39,"")</f>
        <v/>
      </c>
      <c r="AI39" s="108" t="str">
        <f t="shared" si="14"/>
        <v/>
      </c>
      <c r="AJ39" s="108">
        <f t="shared" si="14"/>
        <v>0</v>
      </c>
      <c r="AK39" s="108" t="str">
        <f t="shared" si="14"/>
        <v/>
      </c>
      <c r="AL39" s="108" t="str">
        <f t="shared" si="14"/>
        <v/>
      </c>
      <c r="AM39" s="108" t="str">
        <f t="shared" si="14"/>
        <v/>
      </c>
      <c r="AN39" s="108" t="str">
        <f t="shared" si="14"/>
        <v/>
      </c>
      <c r="AO39" s="108" t="str">
        <f t="shared" si="14"/>
        <v/>
      </c>
      <c r="AP39" s="108" t="str">
        <f t="shared" si="14"/>
        <v/>
      </c>
      <c r="AQ39" s="108" t="str">
        <f t="shared" si="14"/>
        <v/>
      </c>
      <c r="AR39" s="108" t="str">
        <f t="shared" si="14"/>
        <v/>
      </c>
      <c r="AS39" s="108" t="str">
        <f t="shared" si="14"/>
        <v/>
      </c>
      <c r="AT39" s="108" t="str">
        <f t="shared" si="14"/>
        <v/>
      </c>
      <c r="AU39" s="111" t="str">
        <f t="shared" si="14"/>
        <v/>
      </c>
      <c r="AV39" s="112"/>
    </row>
    <row r="40" spans="1:48" ht="15" customHeight="1" outlineLevel="1">
      <c r="A40" s="31" t="s">
        <v>45</v>
      </c>
      <c r="B40" s="32" t="s">
        <v>111</v>
      </c>
      <c r="C40" s="36">
        <v>46388</v>
      </c>
      <c r="D40" s="36">
        <v>46371</v>
      </c>
      <c r="E40" s="36">
        <v>46418</v>
      </c>
      <c r="F40" s="35">
        <f t="shared" si="10"/>
        <v>30</v>
      </c>
      <c r="G40" s="27"/>
      <c r="H40" s="23">
        <v>0</v>
      </c>
      <c r="I40" s="108" t="str">
        <f t="shared" si="12"/>
        <v/>
      </c>
      <c r="J40" s="108" t="str">
        <f t="shared" si="12"/>
        <v/>
      </c>
      <c r="K40" s="108" t="str">
        <f t="shared" si="12"/>
        <v/>
      </c>
      <c r="L40" s="108" t="str">
        <f t="shared" si="12"/>
        <v/>
      </c>
      <c r="M40" s="108" t="str">
        <f t="shared" si="12"/>
        <v/>
      </c>
      <c r="N40" s="108" t="str">
        <f t="shared" si="12"/>
        <v/>
      </c>
      <c r="O40" s="108" t="str">
        <f t="shared" si="12"/>
        <v/>
      </c>
      <c r="P40" s="108" t="str">
        <f t="shared" si="12"/>
        <v/>
      </c>
      <c r="Q40" s="108" t="str">
        <f t="shared" si="12"/>
        <v/>
      </c>
      <c r="R40" s="108" t="str">
        <f t="shared" si="12"/>
        <v/>
      </c>
      <c r="S40" s="108" t="str">
        <f t="shared" si="12"/>
        <v/>
      </c>
      <c r="T40" s="108" t="str">
        <f t="shared" si="12"/>
        <v/>
      </c>
      <c r="U40" s="108" t="str">
        <f t="shared" si="12"/>
        <v/>
      </c>
      <c r="V40" s="108" t="str">
        <f t="shared" si="12"/>
        <v/>
      </c>
      <c r="W40" s="108" t="str">
        <f t="shared" si="12"/>
        <v/>
      </c>
      <c r="X40" s="108" t="str">
        <f t="shared" si="12"/>
        <v/>
      </c>
      <c r="Y40" s="108" t="str">
        <f t="shared" si="11"/>
        <v/>
      </c>
      <c r="Z40" s="108" t="str">
        <f t="shared" si="11"/>
        <v/>
      </c>
      <c r="AA40" s="108" t="str">
        <f t="shared" si="11"/>
        <v/>
      </c>
      <c r="AB40" s="108" t="str">
        <f t="shared" si="11"/>
        <v/>
      </c>
      <c r="AC40" s="108" t="str">
        <f t="shared" si="11"/>
        <v/>
      </c>
      <c r="AD40" s="108" t="str">
        <f t="shared" si="11"/>
        <v/>
      </c>
      <c r="AE40" s="108" t="str">
        <f t="shared" si="11"/>
        <v/>
      </c>
      <c r="AF40" s="108" t="str">
        <f t="shared" si="11"/>
        <v/>
      </c>
      <c r="AG40" s="108" t="str">
        <f t="shared" si="11"/>
        <v/>
      </c>
      <c r="AH40" s="108" t="str">
        <f t="shared" si="14"/>
        <v/>
      </c>
      <c r="AI40" s="108" t="str">
        <f t="shared" si="14"/>
        <v/>
      </c>
      <c r="AJ40" s="108">
        <f t="shared" si="14"/>
        <v>0</v>
      </c>
      <c r="AK40" s="108" t="str">
        <f t="shared" si="14"/>
        <v/>
      </c>
      <c r="AL40" s="108" t="str">
        <f t="shared" si="14"/>
        <v/>
      </c>
      <c r="AM40" s="108" t="str">
        <f t="shared" si="14"/>
        <v/>
      </c>
      <c r="AN40" s="108" t="str">
        <f t="shared" si="14"/>
        <v/>
      </c>
      <c r="AO40" s="108" t="str">
        <f t="shared" si="14"/>
        <v/>
      </c>
      <c r="AP40" s="108" t="str">
        <f t="shared" si="14"/>
        <v/>
      </c>
      <c r="AQ40" s="108" t="str">
        <f t="shared" si="14"/>
        <v/>
      </c>
      <c r="AR40" s="108" t="str">
        <f t="shared" si="14"/>
        <v/>
      </c>
      <c r="AS40" s="108" t="str">
        <f t="shared" si="14"/>
        <v/>
      </c>
      <c r="AT40" s="108" t="str">
        <f t="shared" si="14"/>
        <v/>
      </c>
      <c r="AU40" s="111" t="str">
        <f t="shared" si="14"/>
        <v/>
      </c>
      <c r="AV40" s="112"/>
    </row>
    <row r="41" spans="1:48" ht="15" customHeight="1" outlineLevel="1">
      <c r="A41" s="31" t="s">
        <v>46</v>
      </c>
      <c r="B41" s="32" t="s">
        <v>22</v>
      </c>
      <c r="C41" s="36">
        <v>46341</v>
      </c>
      <c r="D41" s="36">
        <v>46387</v>
      </c>
      <c r="E41" s="76">
        <v>46402</v>
      </c>
      <c r="F41" s="35">
        <f t="shared" si="10"/>
        <v>61</v>
      </c>
      <c r="G41" s="28"/>
      <c r="H41" s="23">
        <v>0</v>
      </c>
      <c r="I41" s="108" t="str">
        <f t="shared" si="12"/>
        <v/>
      </c>
      <c r="J41" s="108" t="str">
        <f t="shared" si="12"/>
        <v/>
      </c>
      <c r="K41" s="108" t="str">
        <f t="shared" si="12"/>
        <v/>
      </c>
      <c r="L41" s="108" t="str">
        <f t="shared" si="12"/>
        <v/>
      </c>
      <c r="M41" s="108" t="str">
        <f t="shared" si="12"/>
        <v/>
      </c>
      <c r="N41" s="108" t="str">
        <f t="shared" si="12"/>
        <v/>
      </c>
      <c r="O41" s="108" t="str">
        <f t="shared" si="12"/>
        <v/>
      </c>
      <c r="P41" s="108" t="str">
        <f t="shared" si="12"/>
        <v/>
      </c>
      <c r="Q41" s="108" t="str">
        <f t="shared" si="12"/>
        <v/>
      </c>
      <c r="R41" s="108" t="str">
        <f t="shared" si="12"/>
        <v/>
      </c>
      <c r="S41" s="108" t="str">
        <f t="shared" si="12"/>
        <v/>
      </c>
      <c r="T41" s="108" t="str">
        <f t="shared" si="12"/>
        <v/>
      </c>
      <c r="U41" s="108" t="str">
        <f t="shared" si="12"/>
        <v/>
      </c>
      <c r="V41" s="108" t="str">
        <f t="shared" si="12"/>
        <v/>
      </c>
      <c r="W41" s="108" t="str">
        <f t="shared" si="12"/>
        <v/>
      </c>
      <c r="X41" s="108" t="str">
        <f t="shared" si="12"/>
        <v/>
      </c>
      <c r="Y41" s="108" t="str">
        <f t="shared" si="11"/>
        <v/>
      </c>
      <c r="Z41" s="108" t="str">
        <f t="shared" si="11"/>
        <v/>
      </c>
      <c r="AA41" s="108" t="str">
        <f t="shared" si="11"/>
        <v/>
      </c>
      <c r="AB41" s="108" t="str">
        <f t="shared" si="11"/>
        <v/>
      </c>
      <c r="AC41" s="108" t="str">
        <f t="shared" si="11"/>
        <v/>
      </c>
      <c r="AD41" s="108" t="str">
        <f t="shared" si="11"/>
        <v/>
      </c>
      <c r="AE41" s="108" t="str">
        <f t="shared" si="11"/>
        <v/>
      </c>
      <c r="AF41" s="108" t="str">
        <f t="shared" si="11"/>
        <v/>
      </c>
      <c r="AG41" s="108" t="str">
        <f t="shared" si="11"/>
        <v/>
      </c>
      <c r="AH41" s="122">
        <f>IF(AND(AH$4&lt;=$C41,AH$4&lt;=$E41),$H41,"")</f>
        <v>0</v>
      </c>
      <c r="AI41" s="123"/>
      <c r="AJ41" s="124"/>
      <c r="AK41" s="108" t="str">
        <f t="shared" si="14"/>
        <v/>
      </c>
      <c r="AL41" s="108" t="str">
        <f t="shared" si="14"/>
        <v/>
      </c>
      <c r="AM41" s="108" t="str">
        <f t="shared" si="14"/>
        <v/>
      </c>
      <c r="AN41" s="108" t="str">
        <f t="shared" si="14"/>
        <v/>
      </c>
      <c r="AO41" s="108" t="str">
        <f t="shared" si="14"/>
        <v/>
      </c>
      <c r="AP41" s="108" t="str">
        <f t="shared" si="14"/>
        <v/>
      </c>
      <c r="AQ41" s="108" t="str">
        <f t="shared" si="14"/>
        <v/>
      </c>
      <c r="AR41" s="108" t="str">
        <f t="shared" si="14"/>
        <v/>
      </c>
      <c r="AS41" s="108" t="str">
        <f t="shared" si="14"/>
        <v/>
      </c>
      <c r="AT41" s="108" t="str">
        <f t="shared" si="14"/>
        <v/>
      </c>
      <c r="AU41" s="111" t="str">
        <f t="shared" si="14"/>
        <v/>
      </c>
      <c r="AV41" s="112"/>
    </row>
    <row r="42" spans="1:48" ht="15.6" customHeight="1">
      <c r="A42" s="129" t="s">
        <v>47</v>
      </c>
      <c r="B42" s="130"/>
      <c r="C42" s="130"/>
      <c r="D42" s="131"/>
      <c r="E42" s="80"/>
      <c r="F42" s="62" t="str">
        <f>ROUNDUP((E45-C43)/30,0) &amp;"MONTHS"</f>
        <v>12MONTHS</v>
      </c>
      <c r="G42" s="26">
        <f>SUM(AC4-C43)/30</f>
        <v>7.6333333333333337</v>
      </c>
      <c r="H42" s="12">
        <f t="array" ref="H42">SUMPRODUCT(H43:H48/3)</f>
        <v>0.76666666666666661</v>
      </c>
      <c r="I42" s="108" t="str">
        <f t="shared" si="12"/>
        <v/>
      </c>
      <c r="J42" s="108" t="str">
        <f t="shared" si="12"/>
        <v/>
      </c>
      <c r="K42" s="108" t="str">
        <f t="shared" si="12"/>
        <v/>
      </c>
      <c r="L42" s="108" t="str">
        <f t="shared" si="12"/>
        <v/>
      </c>
      <c r="M42" s="108" t="str">
        <f t="shared" si="12"/>
        <v/>
      </c>
      <c r="N42" s="108" t="str">
        <f t="shared" si="12"/>
        <v/>
      </c>
      <c r="O42" s="108" t="str">
        <f t="shared" si="12"/>
        <v/>
      </c>
      <c r="P42" s="108" t="str">
        <f t="shared" si="12"/>
        <v/>
      </c>
      <c r="Q42" s="108" t="str">
        <f t="shared" si="12"/>
        <v/>
      </c>
      <c r="R42" s="108" t="str">
        <f t="shared" si="12"/>
        <v/>
      </c>
      <c r="S42" s="108" t="str">
        <f t="shared" si="12"/>
        <v/>
      </c>
      <c r="T42" s="108" t="str">
        <f t="shared" si="12"/>
        <v/>
      </c>
      <c r="U42" s="108" t="str">
        <f t="shared" si="12"/>
        <v/>
      </c>
      <c r="V42" s="108" t="str">
        <f t="shared" si="12"/>
        <v/>
      </c>
      <c r="W42" s="108" t="str">
        <f t="shared" si="12"/>
        <v/>
      </c>
      <c r="X42" s="108" t="str">
        <f t="shared" si="12"/>
        <v/>
      </c>
      <c r="Y42" s="108" t="str">
        <f t="shared" si="11"/>
        <v/>
      </c>
      <c r="Z42" s="108" t="str">
        <f t="shared" si="11"/>
        <v/>
      </c>
      <c r="AA42" s="108" t="str">
        <f t="shared" si="11"/>
        <v/>
      </c>
      <c r="AB42" s="108" t="str">
        <f t="shared" si="11"/>
        <v/>
      </c>
      <c r="AC42" s="108" t="str">
        <f t="shared" si="11"/>
        <v/>
      </c>
      <c r="AD42" s="108" t="str">
        <f t="shared" si="11"/>
        <v/>
      </c>
      <c r="AE42" s="108" t="str">
        <f t="shared" si="11"/>
        <v/>
      </c>
      <c r="AF42" s="108" t="str">
        <f t="shared" si="11"/>
        <v/>
      </c>
      <c r="AG42" s="108" t="str">
        <f t="shared" si="11"/>
        <v/>
      </c>
      <c r="AH42" s="108" t="str">
        <f t="shared" si="14"/>
        <v/>
      </c>
      <c r="AI42" s="108" t="str">
        <f t="shared" si="14"/>
        <v/>
      </c>
      <c r="AJ42" s="108" t="str">
        <f t="shared" si="14"/>
        <v/>
      </c>
      <c r="AK42" s="108" t="str">
        <f t="shared" si="14"/>
        <v/>
      </c>
      <c r="AL42" s="108" t="str">
        <f t="shared" si="14"/>
        <v/>
      </c>
      <c r="AM42" s="108" t="str">
        <f t="shared" si="14"/>
        <v/>
      </c>
      <c r="AN42" s="108" t="str">
        <f t="shared" si="14"/>
        <v/>
      </c>
      <c r="AO42" s="108" t="str">
        <f t="shared" si="14"/>
        <v/>
      </c>
      <c r="AP42" s="108" t="str">
        <f t="shared" si="14"/>
        <v/>
      </c>
      <c r="AQ42" s="108" t="str">
        <f t="shared" si="14"/>
        <v/>
      </c>
      <c r="AR42" s="108" t="str">
        <f t="shared" si="14"/>
        <v/>
      </c>
      <c r="AS42" s="108" t="str">
        <f t="shared" si="14"/>
        <v/>
      </c>
      <c r="AT42" s="108" t="str">
        <f t="shared" si="14"/>
        <v/>
      </c>
      <c r="AU42" s="111" t="str">
        <f t="shared" si="14"/>
        <v/>
      </c>
      <c r="AV42" s="112"/>
    </row>
    <row r="43" spans="1:48" ht="15" customHeight="1" outlineLevel="2">
      <c r="A43" s="31" t="s">
        <v>48</v>
      </c>
      <c r="B43" s="32" t="s">
        <v>11</v>
      </c>
      <c r="C43" s="36">
        <v>45945</v>
      </c>
      <c r="D43" s="36">
        <v>46081</v>
      </c>
      <c r="E43" s="74">
        <v>46234</v>
      </c>
      <c r="F43" s="35">
        <f t="shared" ref="F43:F48" si="15">SUM(E43-C43)</f>
        <v>289</v>
      </c>
      <c r="G43" s="24" t="s">
        <v>115</v>
      </c>
      <c r="H43" s="22">
        <v>0.9</v>
      </c>
      <c r="I43" s="108" t="str">
        <f t="shared" si="12"/>
        <v/>
      </c>
      <c r="J43" s="108" t="str">
        <f t="shared" si="12"/>
        <v/>
      </c>
      <c r="K43" s="108" t="str">
        <f t="shared" si="12"/>
        <v/>
      </c>
      <c r="L43" s="108" t="str">
        <f t="shared" si="12"/>
        <v/>
      </c>
      <c r="M43" s="108" t="str">
        <f t="shared" si="12"/>
        <v/>
      </c>
      <c r="N43" s="108" t="str">
        <f t="shared" si="12"/>
        <v/>
      </c>
      <c r="O43" s="108" t="str">
        <f t="shared" si="12"/>
        <v/>
      </c>
      <c r="P43" s="108" t="str">
        <f t="shared" si="12"/>
        <v/>
      </c>
      <c r="Q43" s="108" t="str">
        <f t="shared" si="12"/>
        <v/>
      </c>
      <c r="R43" s="108" t="str">
        <f t="shared" si="12"/>
        <v/>
      </c>
      <c r="S43" s="108" t="str">
        <f t="shared" si="12"/>
        <v/>
      </c>
      <c r="T43" s="108" t="str">
        <f t="shared" si="12"/>
        <v/>
      </c>
      <c r="U43" s="122">
        <f>IF(AND(U$4&lt;=$C43,U$4&lt;=$E43),$H43,"")</f>
        <v>0.9</v>
      </c>
      <c r="V43" s="123"/>
      <c r="W43" s="123"/>
      <c r="X43" s="123"/>
      <c r="Y43" s="123"/>
      <c r="Z43" s="123"/>
      <c r="AA43" s="123"/>
      <c r="AB43" s="123"/>
      <c r="AC43" s="123"/>
      <c r="AD43" s="124"/>
      <c r="AE43" s="108" t="str">
        <f t="shared" si="11"/>
        <v/>
      </c>
      <c r="AF43" s="108" t="str">
        <f t="shared" si="11"/>
        <v/>
      </c>
      <c r="AG43" s="108" t="str">
        <f t="shared" si="11"/>
        <v/>
      </c>
      <c r="AH43" s="108" t="str">
        <f t="shared" si="14"/>
        <v/>
      </c>
      <c r="AI43" s="108" t="str">
        <f t="shared" si="14"/>
        <v/>
      </c>
      <c r="AJ43" s="108" t="str">
        <f t="shared" si="14"/>
        <v/>
      </c>
      <c r="AK43" s="108" t="str">
        <f t="shared" si="14"/>
        <v/>
      </c>
      <c r="AL43" s="108" t="str">
        <f t="shared" si="14"/>
        <v/>
      </c>
      <c r="AM43" s="108" t="str">
        <f t="shared" si="14"/>
        <v/>
      </c>
      <c r="AN43" s="108" t="str">
        <f t="shared" si="14"/>
        <v/>
      </c>
      <c r="AO43" s="108" t="str">
        <f t="shared" si="14"/>
        <v/>
      </c>
      <c r="AP43" s="108" t="str">
        <f t="shared" si="14"/>
        <v/>
      </c>
      <c r="AQ43" s="108" t="str">
        <f t="shared" si="14"/>
        <v/>
      </c>
      <c r="AR43" s="108" t="str">
        <f t="shared" si="14"/>
        <v/>
      </c>
      <c r="AS43" s="108" t="str">
        <f t="shared" si="14"/>
        <v/>
      </c>
      <c r="AT43" s="108" t="str">
        <f t="shared" si="14"/>
        <v/>
      </c>
      <c r="AU43" s="111" t="str">
        <f t="shared" si="14"/>
        <v/>
      </c>
      <c r="AV43" s="112"/>
    </row>
    <row r="44" spans="1:48" ht="15" customHeight="1" outlineLevel="2">
      <c r="A44" s="31" t="s">
        <v>49</v>
      </c>
      <c r="B44" s="32" t="s">
        <v>122</v>
      </c>
      <c r="C44" s="38">
        <v>46113</v>
      </c>
      <c r="D44" s="36">
        <v>46249</v>
      </c>
      <c r="E44" s="36">
        <v>46123</v>
      </c>
      <c r="F44" s="35">
        <f t="shared" si="15"/>
        <v>10</v>
      </c>
      <c r="G44" s="27"/>
      <c r="H44" s="23">
        <v>0.7</v>
      </c>
      <c r="I44" s="108" t="str">
        <f t="shared" si="12"/>
        <v/>
      </c>
      <c r="J44" s="108" t="str">
        <f t="shared" si="12"/>
        <v/>
      </c>
      <c r="K44" s="108" t="str">
        <f t="shared" si="12"/>
        <v/>
      </c>
      <c r="L44" s="108" t="str">
        <f t="shared" si="12"/>
        <v/>
      </c>
      <c r="M44" s="108" t="str">
        <f t="shared" si="12"/>
        <v/>
      </c>
      <c r="N44" s="108" t="str">
        <f t="shared" si="12"/>
        <v/>
      </c>
      <c r="O44" s="108" t="str">
        <f t="shared" si="12"/>
        <v/>
      </c>
      <c r="P44" s="108" t="str">
        <f t="shared" si="12"/>
        <v/>
      </c>
      <c r="Q44" s="108" t="str">
        <f t="shared" si="12"/>
        <v/>
      </c>
      <c r="R44" s="108" t="str">
        <f t="shared" si="12"/>
        <v/>
      </c>
      <c r="S44" s="108" t="str">
        <f t="shared" si="12"/>
        <v/>
      </c>
      <c r="T44" s="108" t="str">
        <f t="shared" si="12"/>
        <v/>
      </c>
      <c r="U44" s="108" t="str">
        <f t="shared" si="12"/>
        <v/>
      </c>
      <c r="V44" s="108" t="str">
        <f t="shared" si="12"/>
        <v/>
      </c>
      <c r="W44" s="108" t="str">
        <f t="shared" si="12"/>
        <v/>
      </c>
      <c r="X44" s="108" t="str">
        <f t="shared" si="12"/>
        <v/>
      </c>
      <c r="Y44" s="108" t="str">
        <f t="shared" si="11"/>
        <v/>
      </c>
      <c r="Z44" s="108" t="str">
        <f t="shared" si="11"/>
        <v/>
      </c>
      <c r="AA44" s="108">
        <f t="shared" si="11"/>
        <v>0.7</v>
      </c>
      <c r="AB44" s="108" t="str">
        <f t="shared" si="11"/>
        <v/>
      </c>
      <c r="AC44" s="108" t="str">
        <f t="shared" si="11"/>
        <v/>
      </c>
      <c r="AD44" s="108" t="str">
        <f t="shared" si="11"/>
        <v/>
      </c>
      <c r="AE44" s="108" t="str">
        <f t="shared" si="11"/>
        <v/>
      </c>
      <c r="AF44" s="108" t="str">
        <f t="shared" si="11"/>
        <v/>
      </c>
      <c r="AG44" s="108" t="str">
        <f t="shared" si="11"/>
        <v/>
      </c>
      <c r="AH44" s="108" t="str">
        <f t="shared" si="14"/>
        <v/>
      </c>
      <c r="AI44" s="108" t="str">
        <f t="shared" si="14"/>
        <v/>
      </c>
      <c r="AJ44" s="108" t="str">
        <f t="shared" si="14"/>
        <v/>
      </c>
      <c r="AK44" s="108" t="str">
        <f t="shared" si="14"/>
        <v/>
      </c>
      <c r="AL44" s="108" t="str">
        <f t="shared" si="14"/>
        <v/>
      </c>
      <c r="AM44" s="108" t="str">
        <f t="shared" si="14"/>
        <v/>
      </c>
      <c r="AN44" s="108" t="str">
        <f t="shared" si="14"/>
        <v/>
      </c>
      <c r="AO44" s="108" t="str">
        <f t="shared" si="14"/>
        <v/>
      </c>
      <c r="AP44" s="108" t="str">
        <f t="shared" si="14"/>
        <v/>
      </c>
      <c r="AQ44" s="108" t="str">
        <f t="shared" si="14"/>
        <v/>
      </c>
      <c r="AR44" s="108" t="str">
        <f t="shared" si="14"/>
        <v/>
      </c>
      <c r="AS44" s="108" t="str">
        <f t="shared" si="14"/>
        <v/>
      </c>
      <c r="AT44" s="108" t="str">
        <f t="shared" si="14"/>
        <v/>
      </c>
      <c r="AU44" s="111" t="str">
        <f t="shared" si="14"/>
        <v/>
      </c>
      <c r="AV44" s="112"/>
    </row>
    <row r="45" spans="1:48" ht="15" customHeight="1" outlineLevel="2">
      <c r="A45" s="31" t="s">
        <v>50</v>
      </c>
      <c r="B45" s="32" t="s">
        <v>18</v>
      </c>
      <c r="C45" s="36">
        <v>46132</v>
      </c>
      <c r="D45" s="36">
        <v>46249</v>
      </c>
      <c r="E45" s="36">
        <v>46295</v>
      </c>
      <c r="F45" s="35">
        <f t="shared" si="15"/>
        <v>163</v>
      </c>
      <c r="G45" s="27"/>
      <c r="H45" s="22">
        <v>0.4</v>
      </c>
      <c r="I45" s="108" t="str">
        <f t="shared" si="12"/>
        <v/>
      </c>
      <c r="J45" s="108" t="str">
        <f t="shared" si="12"/>
        <v/>
      </c>
      <c r="K45" s="108" t="str">
        <f t="shared" si="12"/>
        <v/>
      </c>
      <c r="L45" s="108" t="str">
        <f t="shared" si="12"/>
        <v/>
      </c>
      <c r="M45" s="108" t="str">
        <f t="shared" si="12"/>
        <v/>
      </c>
      <c r="N45" s="108" t="str">
        <f t="shared" si="12"/>
        <v/>
      </c>
      <c r="O45" s="108" t="str">
        <f t="shared" si="12"/>
        <v/>
      </c>
      <c r="P45" s="108" t="str">
        <f t="shared" si="12"/>
        <v/>
      </c>
      <c r="Q45" s="108" t="str">
        <f t="shared" si="12"/>
        <v/>
      </c>
      <c r="R45" s="108" t="str">
        <f t="shared" si="12"/>
        <v/>
      </c>
      <c r="S45" s="108" t="str">
        <f t="shared" si="12"/>
        <v/>
      </c>
      <c r="T45" s="108" t="str">
        <f t="shared" si="12"/>
        <v/>
      </c>
      <c r="U45" s="108" t="str">
        <f t="shared" si="12"/>
        <v/>
      </c>
      <c r="V45" s="108" t="str">
        <f t="shared" si="12"/>
        <v/>
      </c>
      <c r="W45" s="108" t="str">
        <f t="shared" si="12"/>
        <v/>
      </c>
      <c r="X45" s="108" t="str">
        <f t="shared" si="12"/>
        <v/>
      </c>
      <c r="Y45" s="108" t="str">
        <f t="shared" si="11"/>
        <v/>
      </c>
      <c r="Z45" s="108" t="str">
        <f t="shared" si="11"/>
        <v/>
      </c>
      <c r="AA45" s="122">
        <f>IF(AND(AA$4&lt;=$C45,AA$4&lt;=$E45),$H45,"")</f>
        <v>0.4</v>
      </c>
      <c r="AB45" s="123"/>
      <c r="AC45" s="123"/>
      <c r="AD45" s="123"/>
      <c r="AE45" s="123"/>
      <c r="AF45" s="124"/>
      <c r="AG45" s="108" t="str">
        <f t="shared" si="11"/>
        <v/>
      </c>
      <c r="AH45" s="108" t="str">
        <f t="shared" si="14"/>
        <v/>
      </c>
      <c r="AI45" s="108" t="str">
        <f t="shared" si="14"/>
        <v/>
      </c>
      <c r="AJ45" s="108" t="str">
        <f t="shared" si="14"/>
        <v/>
      </c>
      <c r="AK45" s="108" t="str">
        <f t="shared" si="14"/>
        <v/>
      </c>
      <c r="AL45" s="108" t="str">
        <f t="shared" si="14"/>
        <v/>
      </c>
      <c r="AM45" s="108" t="str">
        <f t="shared" si="14"/>
        <v/>
      </c>
      <c r="AN45" s="108" t="str">
        <f t="shared" si="14"/>
        <v/>
      </c>
      <c r="AO45" s="108" t="str">
        <f t="shared" si="14"/>
        <v/>
      </c>
      <c r="AP45" s="108" t="str">
        <f t="shared" si="14"/>
        <v/>
      </c>
      <c r="AQ45" s="108" t="str">
        <f t="shared" si="14"/>
        <v/>
      </c>
      <c r="AR45" s="108" t="str">
        <f t="shared" si="14"/>
        <v/>
      </c>
      <c r="AS45" s="108" t="str">
        <f t="shared" si="14"/>
        <v/>
      </c>
      <c r="AT45" s="108" t="str">
        <f t="shared" si="14"/>
        <v/>
      </c>
      <c r="AU45" s="111" t="str">
        <f t="shared" si="14"/>
        <v/>
      </c>
      <c r="AV45" s="112"/>
    </row>
    <row r="46" spans="1:48" ht="15" customHeight="1" outlineLevel="2">
      <c r="A46" s="31"/>
      <c r="B46" s="32" t="s">
        <v>123</v>
      </c>
      <c r="C46" s="36">
        <v>46280</v>
      </c>
      <c r="D46" s="36"/>
      <c r="E46" s="36">
        <v>46290</v>
      </c>
      <c r="F46" s="35">
        <f t="shared" si="15"/>
        <v>10</v>
      </c>
      <c r="G46" s="27"/>
      <c r="H46" s="22">
        <v>0</v>
      </c>
      <c r="I46" s="108" t="str">
        <f t="shared" si="12"/>
        <v/>
      </c>
      <c r="J46" s="108" t="str">
        <f t="shared" si="12"/>
        <v/>
      </c>
      <c r="K46" s="108" t="str">
        <f t="shared" si="12"/>
        <v/>
      </c>
      <c r="L46" s="108" t="str">
        <f t="shared" si="12"/>
        <v/>
      </c>
      <c r="M46" s="108" t="str">
        <f t="shared" si="12"/>
        <v/>
      </c>
      <c r="N46" s="108" t="str">
        <f t="shared" si="12"/>
        <v/>
      </c>
      <c r="O46" s="108" t="str">
        <f t="shared" si="12"/>
        <v/>
      </c>
      <c r="P46" s="108" t="str">
        <f t="shared" si="12"/>
        <v/>
      </c>
      <c r="Q46" s="108" t="str">
        <f t="shared" si="12"/>
        <v/>
      </c>
      <c r="R46" s="108" t="str">
        <f t="shared" si="12"/>
        <v/>
      </c>
      <c r="S46" s="108" t="str">
        <f t="shared" si="12"/>
        <v/>
      </c>
      <c r="T46" s="108" t="str">
        <f t="shared" si="12"/>
        <v/>
      </c>
      <c r="U46" s="108" t="str">
        <f t="shared" si="12"/>
        <v/>
      </c>
      <c r="V46" s="108" t="str">
        <f t="shared" si="12"/>
        <v/>
      </c>
      <c r="W46" s="108" t="str">
        <f t="shared" si="12"/>
        <v/>
      </c>
      <c r="X46" s="108" t="str">
        <f t="shared" si="12"/>
        <v/>
      </c>
      <c r="Y46" s="108" t="str">
        <f t="shared" si="11"/>
        <v/>
      </c>
      <c r="Z46" s="108" t="str">
        <f t="shared" si="11"/>
        <v/>
      </c>
      <c r="AA46" s="108" t="str">
        <f t="shared" si="11"/>
        <v/>
      </c>
      <c r="AB46" s="108" t="str">
        <f t="shared" si="11"/>
        <v/>
      </c>
      <c r="AC46" s="108" t="str">
        <f t="shared" si="11"/>
        <v/>
      </c>
      <c r="AD46" s="108" t="str">
        <f t="shared" si="11"/>
        <v/>
      </c>
      <c r="AE46" s="108" t="str">
        <f t="shared" si="11"/>
        <v/>
      </c>
      <c r="AF46" s="108">
        <f>IF(AND(AF$4&lt;=$C46,AF$4&lt;=$E46),$H46,"")</f>
        <v>0</v>
      </c>
      <c r="AG46" s="108" t="str">
        <f t="shared" si="11"/>
        <v/>
      </c>
      <c r="AH46" s="108" t="str">
        <f t="shared" si="14"/>
        <v/>
      </c>
      <c r="AI46" s="108" t="str">
        <f t="shared" si="14"/>
        <v/>
      </c>
      <c r="AJ46" s="108" t="str">
        <f t="shared" si="14"/>
        <v/>
      </c>
      <c r="AK46" s="108" t="str">
        <f t="shared" si="14"/>
        <v/>
      </c>
      <c r="AL46" s="108" t="str">
        <f t="shared" si="14"/>
        <v/>
      </c>
      <c r="AM46" s="108" t="str">
        <f t="shared" si="14"/>
        <v/>
      </c>
      <c r="AN46" s="108" t="str">
        <f t="shared" si="14"/>
        <v/>
      </c>
      <c r="AO46" s="108" t="str">
        <f t="shared" si="14"/>
        <v/>
      </c>
      <c r="AP46" s="108" t="str">
        <f t="shared" si="14"/>
        <v/>
      </c>
      <c r="AQ46" s="108" t="str">
        <f t="shared" si="14"/>
        <v/>
      </c>
      <c r="AR46" s="108" t="str">
        <f t="shared" si="14"/>
        <v/>
      </c>
      <c r="AS46" s="108" t="str">
        <f t="shared" si="14"/>
        <v/>
      </c>
      <c r="AT46" s="108" t="str">
        <f t="shared" si="14"/>
        <v/>
      </c>
      <c r="AU46" s="111" t="str">
        <f t="shared" si="14"/>
        <v/>
      </c>
      <c r="AV46" s="112"/>
    </row>
    <row r="47" spans="1:48" ht="15" customHeight="1" outlineLevel="2">
      <c r="A47" s="31" t="s">
        <v>51</v>
      </c>
      <c r="B47" s="32" t="s">
        <v>111</v>
      </c>
      <c r="C47" s="36">
        <v>46264</v>
      </c>
      <c r="D47" s="36">
        <v>46233</v>
      </c>
      <c r="E47" s="36">
        <v>46295</v>
      </c>
      <c r="F47" s="35">
        <f t="shared" si="15"/>
        <v>31</v>
      </c>
      <c r="G47" s="27"/>
      <c r="H47" s="23">
        <v>0</v>
      </c>
      <c r="I47" s="108" t="str">
        <f t="shared" si="12"/>
        <v/>
      </c>
      <c r="J47" s="108" t="str">
        <f t="shared" si="12"/>
        <v/>
      </c>
      <c r="K47" s="108" t="str">
        <f t="shared" si="12"/>
        <v/>
      </c>
      <c r="L47" s="108" t="str">
        <f t="shared" si="12"/>
        <v/>
      </c>
      <c r="M47" s="108" t="str">
        <f t="shared" si="12"/>
        <v/>
      </c>
      <c r="N47" s="108" t="str">
        <f t="shared" si="12"/>
        <v/>
      </c>
      <c r="O47" s="108" t="str">
        <f t="shared" si="12"/>
        <v/>
      </c>
      <c r="P47" s="108" t="str">
        <f t="shared" si="12"/>
        <v/>
      </c>
      <c r="Q47" s="108" t="str">
        <f t="shared" si="12"/>
        <v/>
      </c>
      <c r="R47" s="108" t="str">
        <f t="shared" si="12"/>
        <v/>
      </c>
      <c r="S47" s="108" t="str">
        <f t="shared" si="12"/>
        <v/>
      </c>
      <c r="T47" s="108" t="str">
        <f t="shared" si="12"/>
        <v/>
      </c>
      <c r="U47" s="108" t="str">
        <f t="shared" si="12"/>
        <v/>
      </c>
      <c r="V47" s="108" t="str">
        <f t="shared" si="12"/>
        <v/>
      </c>
      <c r="W47" s="108" t="str">
        <f t="shared" si="12"/>
        <v/>
      </c>
      <c r="X47" s="108" t="str">
        <f t="shared" si="12"/>
        <v/>
      </c>
      <c r="Y47" s="108" t="str">
        <f t="shared" si="11"/>
        <v/>
      </c>
      <c r="Z47" s="108" t="str">
        <f t="shared" si="11"/>
        <v/>
      </c>
      <c r="AA47" s="108" t="str">
        <f t="shared" si="11"/>
        <v/>
      </c>
      <c r="AB47" s="108" t="str">
        <f t="shared" si="11"/>
        <v/>
      </c>
      <c r="AC47" s="108" t="str">
        <f t="shared" si="11"/>
        <v/>
      </c>
      <c r="AD47" s="108" t="str">
        <f t="shared" si="11"/>
        <v/>
      </c>
      <c r="AE47" s="108" t="str">
        <f t="shared" si="11"/>
        <v/>
      </c>
      <c r="AF47" s="108">
        <f t="shared" si="11"/>
        <v>0</v>
      </c>
      <c r="AG47" s="108" t="str">
        <f t="shared" si="11"/>
        <v/>
      </c>
      <c r="AH47" s="108" t="str">
        <f t="shared" si="14"/>
        <v/>
      </c>
      <c r="AI47" s="108" t="str">
        <f t="shared" si="14"/>
        <v/>
      </c>
      <c r="AJ47" s="108" t="str">
        <f t="shared" si="14"/>
        <v/>
      </c>
      <c r="AK47" s="108" t="str">
        <f t="shared" si="14"/>
        <v/>
      </c>
      <c r="AL47" s="108" t="str">
        <f t="shared" si="14"/>
        <v/>
      </c>
      <c r="AM47" s="108" t="str">
        <f t="shared" si="14"/>
        <v/>
      </c>
      <c r="AN47" s="108" t="str">
        <f t="shared" si="14"/>
        <v/>
      </c>
      <c r="AO47" s="108" t="str">
        <f t="shared" si="14"/>
        <v/>
      </c>
      <c r="AP47" s="108" t="str">
        <f t="shared" si="14"/>
        <v/>
      </c>
      <c r="AQ47" s="108" t="str">
        <f t="shared" si="14"/>
        <v/>
      </c>
      <c r="AR47" s="108" t="str">
        <f t="shared" si="14"/>
        <v/>
      </c>
      <c r="AS47" s="108" t="str">
        <f t="shared" si="14"/>
        <v/>
      </c>
      <c r="AT47" s="108" t="str">
        <f t="shared" si="14"/>
        <v/>
      </c>
      <c r="AU47" s="111" t="str">
        <f t="shared" si="14"/>
        <v/>
      </c>
      <c r="AV47" s="112"/>
    </row>
    <row r="48" spans="1:48" ht="15" customHeight="1" outlineLevel="2">
      <c r="A48" s="31" t="s">
        <v>52</v>
      </c>
      <c r="B48" s="32" t="s">
        <v>22</v>
      </c>
      <c r="C48" s="36">
        <v>46214</v>
      </c>
      <c r="D48" s="36">
        <v>46249</v>
      </c>
      <c r="E48" s="76">
        <v>46275</v>
      </c>
      <c r="F48" s="35">
        <f t="shared" si="15"/>
        <v>61</v>
      </c>
      <c r="G48" s="28"/>
      <c r="H48" s="22">
        <v>0.3</v>
      </c>
      <c r="I48" s="108" t="str">
        <f t="shared" si="12"/>
        <v/>
      </c>
      <c r="J48" s="108" t="str">
        <f t="shared" si="12"/>
        <v/>
      </c>
      <c r="K48" s="108" t="str">
        <f t="shared" si="12"/>
        <v/>
      </c>
      <c r="L48" s="108" t="str">
        <f t="shared" si="12"/>
        <v/>
      </c>
      <c r="M48" s="108" t="str">
        <f t="shared" si="12"/>
        <v/>
      </c>
      <c r="N48" s="108" t="str">
        <f t="shared" si="12"/>
        <v/>
      </c>
      <c r="O48" s="108" t="str">
        <f t="shared" si="12"/>
        <v/>
      </c>
      <c r="P48" s="108" t="str">
        <f t="shared" si="12"/>
        <v/>
      </c>
      <c r="Q48" s="108" t="str">
        <f t="shared" si="12"/>
        <v/>
      </c>
      <c r="R48" s="108" t="str">
        <f t="shared" si="12"/>
        <v/>
      </c>
      <c r="S48" s="108" t="str">
        <f t="shared" si="12"/>
        <v/>
      </c>
      <c r="T48" s="108" t="str">
        <f t="shared" si="12"/>
        <v/>
      </c>
      <c r="U48" s="108" t="str">
        <f t="shared" si="12"/>
        <v/>
      </c>
      <c r="V48" s="108" t="str">
        <f t="shared" si="12"/>
        <v/>
      </c>
      <c r="W48" s="108" t="str">
        <f t="shared" si="12"/>
        <v/>
      </c>
      <c r="X48" s="108" t="str">
        <f t="shared" si="12"/>
        <v/>
      </c>
      <c r="Y48" s="108" t="str">
        <f t="shared" si="11"/>
        <v/>
      </c>
      <c r="Z48" s="108" t="str">
        <f t="shared" si="11"/>
        <v/>
      </c>
      <c r="AA48" s="108" t="str">
        <f t="shared" si="11"/>
        <v/>
      </c>
      <c r="AB48" s="108" t="str">
        <f t="shared" si="11"/>
        <v/>
      </c>
      <c r="AC48" s="108" t="str">
        <f t="shared" si="11"/>
        <v/>
      </c>
      <c r="AD48" s="122">
        <f>IF(AND(AD$4&lt;=$C48,AD$4&lt;=$E48),$H48,"")</f>
        <v>0.3</v>
      </c>
      <c r="AE48" s="123"/>
      <c r="AF48" s="124"/>
      <c r="AG48" s="108" t="str">
        <f t="shared" si="11"/>
        <v/>
      </c>
      <c r="AH48" s="108" t="str">
        <f t="shared" si="14"/>
        <v/>
      </c>
      <c r="AI48" s="108" t="str">
        <f t="shared" si="14"/>
        <v/>
      </c>
      <c r="AJ48" s="108" t="str">
        <f t="shared" si="14"/>
        <v/>
      </c>
      <c r="AK48" s="108" t="str">
        <f t="shared" si="14"/>
        <v/>
      </c>
      <c r="AL48" s="108" t="str">
        <f t="shared" si="14"/>
        <v/>
      </c>
      <c r="AM48" s="108" t="str">
        <f t="shared" si="14"/>
        <v/>
      </c>
      <c r="AN48" s="108" t="str">
        <f t="shared" si="14"/>
        <v/>
      </c>
      <c r="AO48" s="108" t="str">
        <f t="shared" si="14"/>
        <v/>
      </c>
      <c r="AP48" s="108" t="str">
        <f t="shared" si="14"/>
        <v/>
      </c>
      <c r="AQ48" s="108" t="str">
        <f t="shared" si="14"/>
        <v/>
      </c>
      <c r="AR48" s="108" t="str">
        <f t="shared" si="14"/>
        <v/>
      </c>
      <c r="AS48" s="108" t="str">
        <f t="shared" si="14"/>
        <v/>
      </c>
      <c r="AT48" s="108" t="str">
        <f t="shared" si="14"/>
        <v/>
      </c>
      <c r="AU48" s="111" t="str">
        <f t="shared" si="14"/>
        <v/>
      </c>
      <c r="AV48" s="112"/>
    </row>
    <row r="49" spans="1:48" ht="15" customHeight="1">
      <c r="A49" s="129" t="s">
        <v>53</v>
      </c>
      <c r="B49" s="130"/>
      <c r="C49" s="130"/>
      <c r="D49" s="131"/>
      <c r="E49" s="80"/>
      <c r="F49" s="62" t="str">
        <f>ROUNDUP((E52-C50)/30,0) &amp;"MONTHS"</f>
        <v>8MONTHS</v>
      </c>
      <c r="G49" s="26">
        <f>SUM(AC4-C50)/30</f>
        <v>3.3333333333333333E-2</v>
      </c>
      <c r="H49" s="12">
        <f t="array" ref="H49">SUMPRODUCT(H50:H55/3)</f>
        <v>6.6666666666666666E-2</v>
      </c>
      <c r="I49" s="108" t="str">
        <f t="shared" si="12"/>
        <v/>
      </c>
      <c r="J49" s="108" t="str">
        <f t="shared" si="12"/>
        <v/>
      </c>
      <c r="K49" s="108" t="str">
        <f t="shared" si="12"/>
        <v/>
      </c>
      <c r="L49" s="108" t="str">
        <f t="shared" si="12"/>
        <v/>
      </c>
      <c r="M49" s="108" t="str">
        <f t="shared" si="12"/>
        <v/>
      </c>
      <c r="N49" s="108" t="str">
        <f t="shared" si="12"/>
        <v/>
      </c>
      <c r="O49" s="108" t="str">
        <f t="shared" si="12"/>
        <v/>
      </c>
      <c r="P49" s="108" t="str">
        <f t="shared" si="12"/>
        <v/>
      </c>
      <c r="Q49" s="108" t="str">
        <f t="shared" si="12"/>
        <v/>
      </c>
      <c r="R49" s="108" t="str">
        <f t="shared" si="12"/>
        <v/>
      </c>
      <c r="S49" s="108" t="str">
        <f t="shared" si="12"/>
        <v/>
      </c>
      <c r="T49" s="108" t="str">
        <f t="shared" si="12"/>
        <v/>
      </c>
      <c r="U49" s="108" t="str">
        <f t="shared" si="12"/>
        <v/>
      </c>
      <c r="V49" s="108" t="str">
        <f t="shared" si="12"/>
        <v/>
      </c>
      <c r="W49" s="108" t="str">
        <f t="shared" si="12"/>
        <v/>
      </c>
      <c r="X49" s="108" t="str">
        <f t="shared" si="12"/>
        <v/>
      </c>
      <c r="Y49" s="108" t="str">
        <f t="shared" si="11"/>
        <v/>
      </c>
      <c r="Z49" s="108" t="str">
        <f t="shared" si="11"/>
        <v/>
      </c>
      <c r="AA49" s="108" t="str">
        <f t="shared" si="11"/>
        <v/>
      </c>
      <c r="AB49" s="108" t="str">
        <f t="shared" si="11"/>
        <v/>
      </c>
      <c r="AC49" s="108" t="str">
        <f t="shared" si="11"/>
        <v/>
      </c>
      <c r="AD49" s="108" t="str">
        <f t="shared" si="11"/>
        <v/>
      </c>
      <c r="AE49" s="108" t="str">
        <f t="shared" si="11"/>
        <v/>
      </c>
      <c r="AF49" s="108" t="str">
        <f t="shared" si="11"/>
        <v/>
      </c>
      <c r="AG49" s="108" t="str">
        <f t="shared" si="11"/>
        <v/>
      </c>
      <c r="AH49" s="108" t="str">
        <f t="shared" si="14"/>
        <v/>
      </c>
      <c r="AI49" s="108" t="str">
        <f t="shared" si="14"/>
        <v/>
      </c>
      <c r="AJ49" s="108" t="str">
        <f t="shared" si="14"/>
        <v/>
      </c>
      <c r="AK49" s="108" t="str">
        <f t="shared" si="14"/>
        <v/>
      </c>
      <c r="AL49" s="108" t="str">
        <f t="shared" si="14"/>
        <v/>
      </c>
      <c r="AM49" s="108" t="str">
        <f t="shared" si="14"/>
        <v/>
      </c>
      <c r="AN49" s="108" t="str">
        <f t="shared" si="14"/>
        <v/>
      </c>
      <c r="AO49" s="108" t="str">
        <f t="shared" si="14"/>
        <v/>
      </c>
      <c r="AP49" s="108" t="str">
        <f t="shared" si="14"/>
        <v/>
      </c>
      <c r="AQ49" s="108" t="str">
        <f t="shared" si="14"/>
        <v/>
      </c>
      <c r="AR49" s="108" t="str">
        <f t="shared" si="14"/>
        <v/>
      </c>
      <c r="AS49" s="108" t="str">
        <f t="shared" si="14"/>
        <v/>
      </c>
      <c r="AT49" s="108" t="str">
        <f t="shared" si="14"/>
        <v/>
      </c>
      <c r="AU49" s="111" t="str">
        <f t="shared" si="14"/>
        <v/>
      </c>
      <c r="AV49" s="112"/>
    </row>
    <row r="50" spans="1:48" ht="15" customHeight="1" outlineLevel="1">
      <c r="A50" s="31" t="s">
        <v>54</v>
      </c>
      <c r="B50" s="32" t="s">
        <v>11</v>
      </c>
      <c r="C50" s="36">
        <v>46173</v>
      </c>
      <c r="D50" s="36">
        <v>46265</v>
      </c>
      <c r="E50" s="74">
        <v>46325</v>
      </c>
      <c r="F50" s="35">
        <f t="shared" ref="F50:F69" si="16">SUM(E50-C50)</f>
        <v>152</v>
      </c>
      <c r="G50" s="24" t="s">
        <v>115</v>
      </c>
      <c r="H50" s="22">
        <v>0.2</v>
      </c>
      <c r="I50" s="108" t="str">
        <f t="shared" si="12"/>
        <v/>
      </c>
      <c r="J50" s="108" t="str">
        <f t="shared" si="12"/>
        <v/>
      </c>
      <c r="K50" s="108" t="str">
        <f t="shared" si="12"/>
        <v/>
      </c>
      <c r="L50" s="108" t="str">
        <f t="shared" si="12"/>
        <v/>
      </c>
      <c r="M50" s="108" t="str">
        <f t="shared" si="12"/>
        <v/>
      </c>
      <c r="N50" s="108" t="str">
        <f t="shared" si="12"/>
        <v/>
      </c>
      <c r="O50" s="108" t="str">
        <f t="shared" si="12"/>
        <v/>
      </c>
      <c r="P50" s="108" t="str">
        <f t="shared" si="12"/>
        <v/>
      </c>
      <c r="Q50" s="108" t="str">
        <f t="shared" si="12"/>
        <v/>
      </c>
      <c r="R50" s="108" t="str">
        <f t="shared" si="12"/>
        <v/>
      </c>
      <c r="S50" s="108" t="str">
        <f t="shared" si="12"/>
        <v/>
      </c>
      <c r="T50" s="108" t="str">
        <f t="shared" si="12"/>
        <v/>
      </c>
      <c r="U50" s="108" t="str">
        <f t="shared" si="12"/>
        <v/>
      </c>
      <c r="V50" s="108" t="str">
        <f t="shared" si="12"/>
        <v/>
      </c>
      <c r="W50" s="108" t="str">
        <f t="shared" si="12"/>
        <v/>
      </c>
      <c r="X50" s="108" t="str">
        <f t="shared" si="12"/>
        <v/>
      </c>
      <c r="Y50" s="108" t="str">
        <f t="shared" si="11"/>
        <v/>
      </c>
      <c r="Z50" s="108" t="str">
        <f t="shared" si="11"/>
        <v/>
      </c>
      <c r="AA50" s="108" t="str">
        <f t="shared" si="11"/>
        <v/>
      </c>
      <c r="AB50" s="108" t="str">
        <f t="shared" si="11"/>
        <v/>
      </c>
      <c r="AC50" s="122">
        <f t="shared" si="11"/>
        <v>0.2</v>
      </c>
      <c r="AD50" s="123"/>
      <c r="AE50" s="123"/>
      <c r="AF50" s="123"/>
      <c r="AG50" s="124"/>
      <c r="AH50" s="108" t="str">
        <f t="shared" si="14"/>
        <v/>
      </c>
      <c r="AI50" s="108" t="str">
        <f t="shared" si="14"/>
        <v/>
      </c>
      <c r="AJ50" s="108" t="str">
        <f t="shared" si="14"/>
        <v/>
      </c>
      <c r="AK50" s="108" t="str">
        <f t="shared" si="14"/>
        <v/>
      </c>
      <c r="AL50" s="108" t="str">
        <f t="shared" si="14"/>
        <v/>
      </c>
      <c r="AM50" s="108" t="str">
        <f t="shared" si="14"/>
        <v/>
      </c>
      <c r="AN50" s="108" t="str">
        <f t="shared" si="14"/>
        <v/>
      </c>
      <c r="AO50" s="108" t="str">
        <f t="shared" si="14"/>
        <v/>
      </c>
      <c r="AP50" s="108" t="str">
        <f t="shared" si="14"/>
        <v/>
      </c>
      <c r="AQ50" s="108" t="str">
        <f t="shared" si="14"/>
        <v/>
      </c>
      <c r="AR50" s="108" t="str">
        <f t="shared" si="14"/>
        <v/>
      </c>
      <c r="AS50" s="108" t="str">
        <f t="shared" si="14"/>
        <v/>
      </c>
      <c r="AT50" s="108" t="str">
        <f t="shared" si="14"/>
        <v/>
      </c>
      <c r="AU50" s="111" t="str">
        <f t="shared" si="14"/>
        <v/>
      </c>
      <c r="AV50" s="112"/>
    </row>
    <row r="51" spans="1:48" ht="15" customHeight="1" outlineLevel="1">
      <c r="A51" s="31" t="s">
        <v>55</v>
      </c>
      <c r="B51" s="32" t="s">
        <v>122</v>
      </c>
      <c r="C51" s="36">
        <v>46235</v>
      </c>
      <c r="D51" s="37">
        <v>46387</v>
      </c>
      <c r="E51" s="37">
        <v>46245</v>
      </c>
      <c r="F51" s="35">
        <f t="shared" si="16"/>
        <v>10</v>
      </c>
      <c r="G51" s="27"/>
      <c r="H51" s="23">
        <v>0</v>
      </c>
      <c r="I51" s="108" t="str">
        <f t="shared" si="12"/>
        <v/>
      </c>
      <c r="J51" s="108" t="str">
        <f t="shared" si="12"/>
        <v/>
      </c>
      <c r="K51" s="108" t="str">
        <f t="shared" si="12"/>
        <v/>
      </c>
      <c r="L51" s="108" t="str">
        <f t="shared" si="12"/>
        <v/>
      </c>
      <c r="M51" s="108" t="str">
        <f t="shared" si="12"/>
        <v/>
      </c>
      <c r="N51" s="108" t="str">
        <f t="shared" si="12"/>
        <v/>
      </c>
      <c r="O51" s="108" t="str">
        <f t="shared" si="12"/>
        <v/>
      </c>
      <c r="P51" s="108" t="str">
        <f t="shared" si="12"/>
        <v/>
      </c>
      <c r="Q51" s="108" t="str">
        <f t="shared" si="12"/>
        <v/>
      </c>
      <c r="R51" s="108" t="str">
        <f t="shared" si="12"/>
        <v/>
      </c>
      <c r="S51" s="108" t="str">
        <f t="shared" si="12"/>
        <v/>
      </c>
      <c r="T51" s="108" t="str">
        <f t="shared" si="12"/>
        <v/>
      </c>
      <c r="U51" s="108" t="str">
        <f t="shared" si="12"/>
        <v/>
      </c>
      <c r="V51" s="108" t="str">
        <f t="shared" si="12"/>
        <v/>
      </c>
      <c r="W51" s="108" t="str">
        <f t="shared" si="12"/>
        <v/>
      </c>
      <c r="X51" s="108" t="str">
        <f t="shared" si="12"/>
        <v/>
      </c>
      <c r="Y51" s="108" t="str">
        <f t="shared" si="11"/>
        <v/>
      </c>
      <c r="Z51" s="108" t="str">
        <f t="shared" si="11"/>
        <v/>
      </c>
      <c r="AA51" s="108" t="str">
        <f t="shared" si="11"/>
        <v/>
      </c>
      <c r="AB51" s="108" t="str">
        <f t="shared" si="11"/>
        <v/>
      </c>
      <c r="AC51" s="108" t="str">
        <f t="shared" si="11"/>
        <v/>
      </c>
      <c r="AD51" s="108" t="str">
        <f t="shared" si="11"/>
        <v/>
      </c>
      <c r="AE51" s="108">
        <f t="shared" si="11"/>
        <v>0</v>
      </c>
      <c r="AF51" s="108" t="str">
        <f t="shared" si="11"/>
        <v/>
      </c>
      <c r="AG51" s="108" t="str">
        <f t="shared" si="11"/>
        <v/>
      </c>
      <c r="AH51" s="108" t="str">
        <f t="shared" si="14"/>
        <v/>
      </c>
      <c r="AI51" s="108" t="str">
        <f t="shared" si="14"/>
        <v/>
      </c>
      <c r="AJ51" s="108" t="str">
        <f t="shared" si="14"/>
        <v/>
      </c>
      <c r="AK51" s="108" t="str">
        <f t="shared" si="14"/>
        <v/>
      </c>
      <c r="AL51" s="108" t="str">
        <f t="shared" si="14"/>
        <v/>
      </c>
      <c r="AM51" s="108" t="str">
        <f t="shared" si="14"/>
        <v/>
      </c>
      <c r="AN51" s="108" t="str">
        <f t="shared" si="14"/>
        <v/>
      </c>
      <c r="AO51" s="108" t="str">
        <f t="shared" si="14"/>
        <v/>
      </c>
      <c r="AP51" s="108" t="str">
        <f t="shared" si="14"/>
        <v/>
      </c>
      <c r="AQ51" s="108" t="str">
        <f t="shared" si="14"/>
        <v/>
      </c>
      <c r="AR51" s="108" t="str">
        <f t="shared" si="14"/>
        <v/>
      </c>
      <c r="AS51" s="108" t="str">
        <f t="shared" si="14"/>
        <v/>
      </c>
      <c r="AT51" s="108" t="str">
        <f t="shared" si="14"/>
        <v/>
      </c>
      <c r="AU51" s="111" t="str">
        <f t="shared" si="14"/>
        <v/>
      </c>
      <c r="AV51" s="112"/>
    </row>
    <row r="52" spans="1:48" ht="15" customHeight="1" outlineLevel="1">
      <c r="A52" s="31" t="s">
        <v>56</v>
      </c>
      <c r="B52" s="32" t="s">
        <v>18</v>
      </c>
      <c r="C52" s="36">
        <v>46218</v>
      </c>
      <c r="D52" s="36">
        <v>46387</v>
      </c>
      <c r="E52" s="36">
        <v>46387</v>
      </c>
      <c r="F52" s="35">
        <f t="shared" si="16"/>
        <v>169</v>
      </c>
      <c r="G52" s="27"/>
      <c r="H52" s="23">
        <v>0</v>
      </c>
      <c r="I52" s="108" t="str">
        <f t="shared" si="12"/>
        <v/>
      </c>
      <c r="J52" s="108" t="str">
        <f t="shared" si="12"/>
        <v/>
      </c>
      <c r="K52" s="108" t="str">
        <f t="shared" si="12"/>
        <v/>
      </c>
      <c r="L52" s="108" t="str">
        <f t="shared" si="12"/>
        <v/>
      </c>
      <c r="M52" s="108" t="str">
        <f t="shared" si="12"/>
        <v/>
      </c>
      <c r="N52" s="108" t="str">
        <f t="shared" si="12"/>
        <v/>
      </c>
      <c r="O52" s="108" t="str">
        <f t="shared" si="12"/>
        <v/>
      </c>
      <c r="P52" s="108" t="str">
        <f t="shared" si="12"/>
        <v/>
      </c>
      <c r="Q52" s="108" t="str">
        <f t="shared" si="12"/>
        <v/>
      </c>
      <c r="R52" s="108" t="str">
        <f t="shared" si="12"/>
        <v/>
      </c>
      <c r="S52" s="108" t="str">
        <f t="shared" si="12"/>
        <v/>
      </c>
      <c r="T52" s="108" t="str">
        <f t="shared" si="12"/>
        <v/>
      </c>
      <c r="U52" s="108" t="str">
        <f t="shared" si="12"/>
        <v/>
      </c>
      <c r="V52" s="108" t="str">
        <f t="shared" si="12"/>
        <v/>
      </c>
      <c r="W52" s="108" t="str">
        <f t="shared" si="12"/>
        <v/>
      </c>
      <c r="X52" s="108" t="str">
        <f t="shared" ref="X52:AM67" si="17">IF(AND(X$4&gt;=$C52,X$4&lt;=$E52),$H52,"")</f>
        <v/>
      </c>
      <c r="Y52" s="108" t="str">
        <f t="shared" si="17"/>
        <v/>
      </c>
      <c r="Z52" s="108" t="str">
        <f t="shared" si="17"/>
        <v/>
      </c>
      <c r="AA52" s="108" t="str">
        <f t="shared" si="17"/>
        <v/>
      </c>
      <c r="AB52" s="108" t="str">
        <f t="shared" si="17"/>
        <v/>
      </c>
      <c r="AC52" s="108" t="str">
        <f t="shared" si="17"/>
        <v/>
      </c>
      <c r="AD52" s="108" t="str">
        <f t="shared" si="17"/>
        <v/>
      </c>
      <c r="AE52" s="122">
        <f t="shared" si="17"/>
        <v>0</v>
      </c>
      <c r="AF52" s="123"/>
      <c r="AG52" s="123"/>
      <c r="AH52" s="123"/>
      <c r="AI52" s="124"/>
      <c r="AJ52" s="108" t="str">
        <f t="shared" si="17"/>
        <v/>
      </c>
      <c r="AK52" s="108" t="str">
        <f t="shared" si="17"/>
        <v/>
      </c>
      <c r="AL52" s="108" t="str">
        <f t="shared" si="17"/>
        <v/>
      </c>
      <c r="AM52" s="108" t="str">
        <f t="shared" si="17"/>
        <v/>
      </c>
      <c r="AN52" s="108" t="str">
        <f t="shared" si="14"/>
        <v/>
      </c>
      <c r="AO52" s="108" t="str">
        <f t="shared" si="14"/>
        <v/>
      </c>
      <c r="AP52" s="108" t="str">
        <f t="shared" si="14"/>
        <v/>
      </c>
      <c r="AQ52" s="108" t="str">
        <f t="shared" si="14"/>
        <v/>
      </c>
      <c r="AR52" s="108" t="str">
        <f t="shared" si="14"/>
        <v/>
      </c>
      <c r="AS52" s="108" t="str">
        <f t="shared" si="14"/>
        <v/>
      </c>
      <c r="AT52" s="108" t="str">
        <f t="shared" si="14"/>
        <v/>
      </c>
      <c r="AU52" s="111" t="str">
        <f t="shared" si="14"/>
        <v/>
      </c>
      <c r="AV52" s="112"/>
    </row>
    <row r="53" spans="1:48" ht="15" customHeight="1" outlineLevel="1">
      <c r="A53" s="31"/>
      <c r="B53" s="32" t="s">
        <v>123</v>
      </c>
      <c r="C53" s="36">
        <v>46371</v>
      </c>
      <c r="D53" s="36"/>
      <c r="E53" s="36">
        <v>46381</v>
      </c>
      <c r="F53" s="35">
        <f t="shared" si="16"/>
        <v>10</v>
      </c>
      <c r="G53" s="27"/>
      <c r="H53" s="23">
        <v>0</v>
      </c>
      <c r="I53" s="108" t="str">
        <f t="shared" ref="I53:X68" si="18">IF(AND(I$4&gt;=$C53,I$4&lt;=$E53),$H53,"")</f>
        <v/>
      </c>
      <c r="J53" s="108" t="str">
        <f t="shared" si="18"/>
        <v/>
      </c>
      <c r="K53" s="108" t="str">
        <f t="shared" si="18"/>
        <v/>
      </c>
      <c r="L53" s="108" t="str">
        <f t="shared" si="18"/>
        <v/>
      </c>
      <c r="M53" s="108" t="str">
        <f t="shared" si="18"/>
        <v/>
      </c>
      <c r="N53" s="108" t="str">
        <f t="shared" si="18"/>
        <v/>
      </c>
      <c r="O53" s="108" t="str">
        <f t="shared" si="18"/>
        <v/>
      </c>
      <c r="P53" s="108" t="str">
        <f t="shared" si="18"/>
        <v/>
      </c>
      <c r="Q53" s="108" t="str">
        <f t="shared" si="18"/>
        <v/>
      </c>
      <c r="R53" s="108" t="str">
        <f t="shared" si="18"/>
        <v/>
      </c>
      <c r="S53" s="108" t="str">
        <f t="shared" si="18"/>
        <v/>
      </c>
      <c r="T53" s="108" t="str">
        <f t="shared" si="18"/>
        <v/>
      </c>
      <c r="U53" s="108" t="str">
        <f t="shared" si="18"/>
        <v/>
      </c>
      <c r="V53" s="108" t="str">
        <f t="shared" si="18"/>
        <v/>
      </c>
      <c r="W53" s="108" t="str">
        <f t="shared" si="18"/>
        <v/>
      </c>
      <c r="X53" s="108" t="str">
        <f t="shared" si="18"/>
        <v/>
      </c>
      <c r="Y53" s="108" t="str">
        <f t="shared" si="17"/>
        <v/>
      </c>
      <c r="Z53" s="108" t="str">
        <f t="shared" si="17"/>
        <v/>
      </c>
      <c r="AA53" s="108" t="str">
        <f t="shared" si="17"/>
        <v/>
      </c>
      <c r="AB53" s="108" t="str">
        <f t="shared" si="17"/>
        <v/>
      </c>
      <c r="AC53" s="108" t="str">
        <f t="shared" si="17"/>
        <v/>
      </c>
      <c r="AD53" s="108" t="str">
        <f t="shared" si="17"/>
        <v/>
      </c>
      <c r="AE53" s="108" t="str">
        <f t="shared" si="17"/>
        <v/>
      </c>
      <c r="AF53" s="108" t="str">
        <f t="shared" si="17"/>
        <v/>
      </c>
      <c r="AG53" s="108" t="str">
        <f t="shared" si="17"/>
        <v/>
      </c>
      <c r="AH53" s="108" t="str">
        <f t="shared" si="17"/>
        <v/>
      </c>
      <c r="AI53" s="108">
        <f>IF(AND(AI$4&lt;=$C53,AI$4&lt;=$E53),$H53,"")</f>
        <v>0</v>
      </c>
      <c r="AJ53" s="108" t="str">
        <f t="shared" si="17"/>
        <v/>
      </c>
      <c r="AK53" s="108" t="str">
        <f t="shared" si="17"/>
        <v/>
      </c>
      <c r="AL53" s="108" t="str">
        <f t="shared" si="17"/>
        <v/>
      </c>
      <c r="AM53" s="108" t="str">
        <f t="shared" si="17"/>
        <v/>
      </c>
      <c r="AN53" s="108" t="str">
        <f t="shared" si="14"/>
        <v/>
      </c>
      <c r="AO53" s="108" t="str">
        <f t="shared" si="14"/>
        <v/>
      </c>
      <c r="AP53" s="108" t="str">
        <f t="shared" si="14"/>
        <v/>
      </c>
      <c r="AQ53" s="108" t="str">
        <f t="shared" si="14"/>
        <v/>
      </c>
      <c r="AR53" s="108" t="str">
        <f t="shared" si="14"/>
        <v/>
      </c>
      <c r="AS53" s="108" t="str">
        <f t="shared" si="14"/>
        <v/>
      </c>
      <c r="AT53" s="108" t="str">
        <f t="shared" si="14"/>
        <v/>
      </c>
      <c r="AU53" s="111" t="str">
        <f t="shared" si="14"/>
        <v/>
      </c>
      <c r="AV53" s="112"/>
    </row>
    <row r="54" spans="1:48" ht="15" customHeight="1" outlineLevel="1">
      <c r="A54" s="31" t="s">
        <v>57</v>
      </c>
      <c r="B54" s="32" t="s">
        <v>111</v>
      </c>
      <c r="C54" s="36">
        <v>46357</v>
      </c>
      <c r="D54" s="36">
        <v>46371</v>
      </c>
      <c r="E54" s="36">
        <v>46387</v>
      </c>
      <c r="F54" s="35">
        <f t="shared" si="16"/>
        <v>30</v>
      </c>
      <c r="G54" s="27"/>
      <c r="H54" s="23">
        <v>0</v>
      </c>
      <c r="I54" s="108" t="str">
        <f t="shared" si="18"/>
        <v/>
      </c>
      <c r="J54" s="108" t="str">
        <f t="shared" si="18"/>
        <v/>
      </c>
      <c r="K54" s="108" t="str">
        <f t="shared" si="18"/>
        <v/>
      </c>
      <c r="L54" s="108" t="str">
        <f t="shared" si="18"/>
        <v/>
      </c>
      <c r="M54" s="108" t="str">
        <f t="shared" si="18"/>
        <v/>
      </c>
      <c r="N54" s="108" t="str">
        <f t="shared" si="18"/>
        <v/>
      </c>
      <c r="O54" s="108" t="str">
        <f t="shared" si="18"/>
        <v/>
      </c>
      <c r="P54" s="108" t="str">
        <f t="shared" si="18"/>
        <v/>
      </c>
      <c r="Q54" s="108" t="str">
        <f t="shared" si="18"/>
        <v/>
      </c>
      <c r="R54" s="108" t="str">
        <f t="shared" si="18"/>
        <v/>
      </c>
      <c r="S54" s="108" t="str">
        <f t="shared" si="18"/>
        <v/>
      </c>
      <c r="T54" s="108" t="str">
        <f t="shared" si="18"/>
        <v/>
      </c>
      <c r="U54" s="108" t="str">
        <f t="shared" si="18"/>
        <v/>
      </c>
      <c r="V54" s="108" t="str">
        <f t="shared" si="18"/>
        <v/>
      </c>
      <c r="W54" s="108" t="str">
        <f t="shared" si="18"/>
        <v/>
      </c>
      <c r="X54" s="108" t="str">
        <f t="shared" si="18"/>
        <v/>
      </c>
      <c r="Y54" s="108" t="str">
        <f t="shared" si="17"/>
        <v/>
      </c>
      <c r="Z54" s="108" t="str">
        <f t="shared" si="17"/>
        <v/>
      </c>
      <c r="AA54" s="108" t="str">
        <f t="shared" si="17"/>
        <v/>
      </c>
      <c r="AB54" s="108" t="str">
        <f t="shared" si="17"/>
        <v/>
      </c>
      <c r="AC54" s="108" t="str">
        <f t="shared" si="17"/>
        <v/>
      </c>
      <c r="AD54" s="108" t="str">
        <f t="shared" si="17"/>
        <v/>
      </c>
      <c r="AE54" s="108" t="str">
        <f t="shared" si="17"/>
        <v/>
      </c>
      <c r="AF54" s="108" t="str">
        <f t="shared" si="17"/>
        <v/>
      </c>
      <c r="AG54" s="108" t="str">
        <f t="shared" si="17"/>
        <v/>
      </c>
      <c r="AH54" s="108" t="str">
        <f t="shared" si="17"/>
        <v/>
      </c>
      <c r="AI54" s="108">
        <f t="shared" si="17"/>
        <v>0</v>
      </c>
      <c r="AJ54" s="108" t="str">
        <f t="shared" si="17"/>
        <v/>
      </c>
      <c r="AK54" s="108" t="str">
        <f t="shared" si="17"/>
        <v/>
      </c>
      <c r="AL54" s="108" t="str">
        <f t="shared" si="17"/>
        <v/>
      </c>
      <c r="AM54" s="108" t="str">
        <f t="shared" si="17"/>
        <v/>
      </c>
      <c r="AN54" s="108" t="str">
        <f t="shared" si="14"/>
        <v/>
      </c>
      <c r="AO54" s="108" t="str">
        <f t="shared" si="14"/>
        <v/>
      </c>
      <c r="AP54" s="108" t="str">
        <f t="shared" si="14"/>
        <v/>
      </c>
      <c r="AQ54" s="108" t="str">
        <f t="shared" si="14"/>
        <v/>
      </c>
      <c r="AR54" s="108" t="str">
        <f t="shared" si="14"/>
        <v/>
      </c>
      <c r="AS54" s="108" t="str">
        <f t="shared" si="14"/>
        <v/>
      </c>
      <c r="AT54" s="108" t="str">
        <f t="shared" si="14"/>
        <v/>
      </c>
      <c r="AU54" s="111" t="str">
        <f t="shared" si="14"/>
        <v/>
      </c>
      <c r="AV54" s="112"/>
    </row>
    <row r="55" spans="1:48" ht="15" customHeight="1" outlineLevel="1">
      <c r="A55" s="31" t="s">
        <v>58</v>
      </c>
      <c r="B55" s="32" t="s">
        <v>22</v>
      </c>
      <c r="C55" s="36">
        <v>46305</v>
      </c>
      <c r="D55" s="36">
        <v>46387</v>
      </c>
      <c r="E55" s="36">
        <v>46366</v>
      </c>
      <c r="F55" s="35">
        <f t="shared" si="16"/>
        <v>61</v>
      </c>
      <c r="G55" s="28"/>
      <c r="H55" s="23">
        <v>0</v>
      </c>
      <c r="I55" s="108" t="str">
        <f t="shared" si="18"/>
        <v/>
      </c>
      <c r="J55" s="108" t="str">
        <f t="shared" si="18"/>
        <v/>
      </c>
      <c r="K55" s="108" t="str">
        <f t="shared" si="18"/>
        <v/>
      </c>
      <c r="L55" s="108" t="str">
        <f t="shared" si="18"/>
        <v/>
      </c>
      <c r="M55" s="108" t="str">
        <f t="shared" si="18"/>
        <v/>
      </c>
      <c r="N55" s="108" t="str">
        <f t="shared" si="18"/>
        <v/>
      </c>
      <c r="O55" s="108" t="str">
        <f t="shared" si="18"/>
        <v/>
      </c>
      <c r="P55" s="108" t="str">
        <f t="shared" si="18"/>
        <v/>
      </c>
      <c r="Q55" s="108" t="str">
        <f t="shared" si="18"/>
        <v/>
      </c>
      <c r="R55" s="108" t="str">
        <f t="shared" si="18"/>
        <v/>
      </c>
      <c r="S55" s="108" t="str">
        <f t="shared" si="18"/>
        <v/>
      </c>
      <c r="T55" s="108" t="str">
        <f t="shared" si="18"/>
        <v/>
      </c>
      <c r="U55" s="108" t="str">
        <f t="shared" si="18"/>
        <v/>
      </c>
      <c r="V55" s="108" t="str">
        <f t="shared" si="18"/>
        <v/>
      </c>
      <c r="W55" s="108" t="str">
        <f t="shared" si="18"/>
        <v/>
      </c>
      <c r="X55" s="108" t="str">
        <f t="shared" si="18"/>
        <v/>
      </c>
      <c r="Y55" s="108" t="str">
        <f t="shared" si="17"/>
        <v/>
      </c>
      <c r="Z55" s="108" t="str">
        <f t="shared" si="17"/>
        <v/>
      </c>
      <c r="AA55" s="108" t="str">
        <f t="shared" si="17"/>
        <v/>
      </c>
      <c r="AB55" s="108" t="str">
        <f t="shared" si="17"/>
        <v/>
      </c>
      <c r="AC55" s="108" t="str">
        <f t="shared" si="17"/>
        <v/>
      </c>
      <c r="AD55" s="108" t="str">
        <f t="shared" si="17"/>
        <v/>
      </c>
      <c r="AE55" s="108" t="str">
        <f t="shared" si="17"/>
        <v/>
      </c>
      <c r="AF55" s="108" t="str">
        <f t="shared" si="17"/>
        <v/>
      </c>
      <c r="AG55" s="108" t="str">
        <f t="shared" si="17"/>
        <v/>
      </c>
      <c r="AH55" s="122">
        <f t="shared" si="17"/>
        <v>0</v>
      </c>
      <c r="AI55" s="124"/>
      <c r="AJ55" s="108" t="str">
        <f t="shared" si="17"/>
        <v/>
      </c>
      <c r="AK55" s="108" t="str">
        <f t="shared" si="17"/>
        <v/>
      </c>
      <c r="AL55" s="108" t="str">
        <f t="shared" si="17"/>
        <v/>
      </c>
      <c r="AM55" s="108" t="str">
        <f t="shared" si="17"/>
        <v/>
      </c>
      <c r="AN55" s="108" t="str">
        <f t="shared" si="14"/>
        <v/>
      </c>
      <c r="AO55" s="108" t="str">
        <f t="shared" si="14"/>
        <v/>
      </c>
      <c r="AP55" s="108" t="str">
        <f t="shared" si="14"/>
        <v/>
      </c>
      <c r="AQ55" s="108" t="str">
        <f t="shared" si="14"/>
        <v/>
      </c>
      <c r="AR55" s="108" t="str">
        <f t="shared" si="14"/>
        <v/>
      </c>
      <c r="AS55" s="108" t="str">
        <f t="shared" si="14"/>
        <v/>
      </c>
      <c r="AT55" s="108" t="str">
        <f t="shared" si="14"/>
        <v/>
      </c>
      <c r="AU55" s="111" t="str">
        <f t="shared" si="14"/>
        <v/>
      </c>
      <c r="AV55" s="112"/>
    </row>
    <row r="56" spans="1:48" ht="15" customHeight="1">
      <c r="A56" s="125" t="s">
        <v>59</v>
      </c>
      <c r="B56" s="126"/>
      <c r="C56" s="127"/>
      <c r="D56" s="128"/>
      <c r="E56" s="80"/>
      <c r="F56" s="62" t="str">
        <f>ROUNDUP((D62-C57)/30,0) &amp;"MONTHS"</f>
        <v>6MONTHS</v>
      </c>
      <c r="G56" s="26">
        <f>SUM(AC4-C57)/30</f>
        <v>-3.5333333333333332</v>
      </c>
      <c r="H56" s="12">
        <f t="array" ref="H56">SUMPRODUCT(H57:H62/3)</f>
        <v>0</v>
      </c>
      <c r="I56" s="108" t="str">
        <f t="shared" si="18"/>
        <v/>
      </c>
      <c r="J56" s="108" t="str">
        <f t="shared" si="18"/>
        <v/>
      </c>
      <c r="K56" s="108" t="str">
        <f t="shared" si="18"/>
        <v/>
      </c>
      <c r="L56" s="108" t="str">
        <f t="shared" si="18"/>
        <v/>
      </c>
      <c r="M56" s="108" t="str">
        <f t="shared" si="18"/>
        <v/>
      </c>
      <c r="N56" s="108" t="str">
        <f t="shared" si="18"/>
        <v/>
      </c>
      <c r="O56" s="108" t="str">
        <f t="shared" si="18"/>
        <v/>
      </c>
      <c r="P56" s="108" t="str">
        <f t="shared" si="18"/>
        <v/>
      </c>
      <c r="Q56" s="108" t="str">
        <f t="shared" si="18"/>
        <v/>
      </c>
      <c r="R56" s="108" t="str">
        <f t="shared" si="18"/>
        <v/>
      </c>
      <c r="S56" s="108" t="str">
        <f t="shared" si="18"/>
        <v/>
      </c>
      <c r="T56" s="108" t="str">
        <f t="shared" si="18"/>
        <v/>
      </c>
      <c r="U56" s="108" t="str">
        <f t="shared" si="18"/>
        <v/>
      </c>
      <c r="V56" s="108" t="str">
        <f t="shared" si="18"/>
        <v/>
      </c>
      <c r="W56" s="108" t="str">
        <f t="shared" si="18"/>
        <v/>
      </c>
      <c r="X56" s="108" t="str">
        <f t="shared" si="18"/>
        <v/>
      </c>
      <c r="Y56" s="108" t="str">
        <f t="shared" si="17"/>
        <v/>
      </c>
      <c r="Z56" s="108" t="str">
        <f t="shared" si="17"/>
        <v/>
      </c>
      <c r="AA56" s="108" t="str">
        <f t="shared" si="17"/>
        <v/>
      </c>
      <c r="AB56" s="108" t="str">
        <f t="shared" si="17"/>
        <v/>
      </c>
      <c r="AC56" s="108" t="str">
        <f t="shared" si="17"/>
        <v/>
      </c>
      <c r="AD56" s="108" t="str">
        <f t="shared" si="17"/>
        <v/>
      </c>
      <c r="AE56" s="108" t="str">
        <f t="shared" si="17"/>
        <v/>
      </c>
      <c r="AF56" s="108" t="str">
        <f t="shared" si="17"/>
        <v/>
      </c>
      <c r="AG56" s="108" t="str">
        <f t="shared" si="17"/>
        <v/>
      </c>
      <c r="AH56" s="108" t="str">
        <f t="shared" si="17"/>
        <v/>
      </c>
      <c r="AI56" s="108" t="str">
        <f t="shared" si="17"/>
        <v/>
      </c>
      <c r="AJ56" s="108" t="str">
        <f t="shared" si="17"/>
        <v/>
      </c>
      <c r="AK56" s="108" t="str">
        <f t="shared" si="17"/>
        <v/>
      </c>
      <c r="AL56" s="108" t="str">
        <f t="shared" si="17"/>
        <v/>
      </c>
      <c r="AM56" s="108" t="str">
        <f t="shared" si="17"/>
        <v/>
      </c>
      <c r="AN56" s="108" t="str">
        <f t="shared" si="14"/>
        <v/>
      </c>
      <c r="AO56" s="108" t="str">
        <f t="shared" si="14"/>
        <v/>
      </c>
      <c r="AP56" s="108" t="str">
        <f t="shared" si="14"/>
        <v/>
      </c>
      <c r="AQ56" s="108" t="str">
        <f t="shared" si="14"/>
        <v/>
      </c>
      <c r="AR56" s="108" t="str">
        <f t="shared" si="14"/>
        <v/>
      </c>
      <c r="AS56" s="108" t="str">
        <f t="shared" si="14"/>
        <v/>
      </c>
      <c r="AT56" s="108" t="str">
        <f t="shared" si="14"/>
        <v/>
      </c>
      <c r="AU56" s="111" t="str">
        <f t="shared" si="14"/>
        <v/>
      </c>
      <c r="AV56" s="112"/>
    </row>
    <row r="57" spans="1:48" ht="15" customHeight="1" outlineLevel="1">
      <c r="A57" s="31" t="s">
        <v>60</v>
      </c>
      <c r="B57" s="104" t="s">
        <v>11</v>
      </c>
      <c r="C57" s="105">
        <v>46280</v>
      </c>
      <c r="D57" s="106">
        <v>46402</v>
      </c>
      <c r="E57" s="106">
        <v>46402</v>
      </c>
      <c r="F57" s="35">
        <f t="shared" si="16"/>
        <v>122</v>
      </c>
      <c r="G57" s="24" t="s">
        <v>115</v>
      </c>
      <c r="H57" s="23">
        <v>0</v>
      </c>
      <c r="I57" s="108" t="str">
        <f t="shared" si="18"/>
        <v/>
      </c>
      <c r="J57" s="108" t="str">
        <f t="shared" si="18"/>
        <v/>
      </c>
      <c r="K57" s="108" t="str">
        <f t="shared" si="18"/>
        <v/>
      </c>
      <c r="L57" s="108" t="str">
        <f t="shared" si="18"/>
        <v/>
      </c>
      <c r="M57" s="108" t="str">
        <f t="shared" si="18"/>
        <v/>
      </c>
      <c r="N57" s="108" t="str">
        <f t="shared" si="18"/>
        <v/>
      </c>
      <c r="O57" s="108" t="str">
        <f t="shared" si="18"/>
        <v/>
      </c>
      <c r="P57" s="108" t="str">
        <f t="shared" si="18"/>
        <v/>
      </c>
      <c r="Q57" s="108" t="str">
        <f t="shared" si="18"/>
        <v/>
      </c>
      <c r="R57" s="108" t="str">
        <f t="shared" si="18"/>
        <v/>
      </c>
      <c r="S57" s="108" t="str">
        <f t="shared" si="18"/>
        <v/>
      </c>
      <c r="T57" s="108" t="str">
        <f t="shared" si="18"/>
        <v/>
      </c>
      <c r="U57" s="108" t="str">
        <f t="shared" si="18"/>
        <v/>
      </c>
      <c r="V57" s="108" t="str">
        <f t="shared" si="18"/>
        <v/>
      </c>
      <c r="W57" s="108" t="str">
        <f t="shared" si="18"/>
        <v/>
      </c>
      <c r="X57" s="108" t="str">
        <f t="shared" si="18"/>
        <v/>
      </c>
      <c r="Y57" s="108" t="str">
        <f t="shared" si="17"/>
        <v/>
      </c>
      <c r="Z57" s="108" t="str">
        <f t="shared" si="17"/>
        <v/>
      </c>
      <c r="AA57" s="108" t="str">
        <f t="shared" si="17"/>
        <v/>
      </c>
      <c r="AB57" s="108" t="str">
        <f t="shared" si="17"/>
        <v/>
      </c>
      <c r="AC57" s="108" t="str">
        <f t="shared" si="17"/>
        <v/>
      </c>
      <c r="AD57" s="108" t="str">
        <f t="shared" si="17"/>
        <v/>
      </c>
      <c r="AE57" s="108" t="str">
        <f t="shared" si="17"/>
        <v/>
      </c>
      <c r="AF57" s="122">
        <f>IF(AND(AF$4&lt;=$C57,AF$4&lt;=$E57),$H57,"")</f>
        <v>0</v>
      </c>
      <c r="AG57" s="123"/>
      <c r="AH57" s="123"/>
      <c r="AI57" s="123"/>
      <c r="AJ57" s="124"/>
      <c r="AK57" s="108" t="str">
        <f t="shared" si="17"/>
        <v/>
      </c>
      <c r="AL57" s="108" t="str">
        <f t="shared" si="17"/>
        <v/>
      </c>
      <c r="AM57" s="108" t="str">
        <f t="shared" si="17"/>
        <v/>
      </c>
      <c r="AN57" s="108" t="str">
        <f t="shared" si="14"/>
        <v/>
      </c>
      <c r="AO57" s="108" t="str">
        <f t="shared" si="14"/>
        <v/>
      </c>
      <c r="AP57" s="108" t="str">
        <f t="shared" si="14"/>
        <v/>
      </c>
      <c r="AQ57" s="108" t="str">
        <f t="shared" si="14"/>
        <v/>
      </c>
      <c r="AR57" s="108" t="str">
        <f t="shared" si="14"/>
        <v/>
      </c>
      <c r="AS57" s="108" t="str">
        <f t="shared" si="14"/>
        <v/>
      </c>
      <c r="AT57" s="108" t="str">
        <f t="shared" si="14"/>
        <v/>
      </c>
      <c r="AU57" s="111" t="str">
        <f t="shared" si="14"/>
        <v/>
      </c>
      <c r="AV57" s="119" t="s">
        <v>126</v>
      </c>
    </row>
    <row r="58" spans="1:48" ht="15" customHeight="1" outlineLevel="1">
      <c r="A58" s="31" t="s">
        <v>61</v>
      </c>
      <c r="B58" s="104" t="s">
        <v>122</v>
      </c>
      <c r="C58" s="105">
        <v>46357</v>
      </c>
      <c r="D58" s="107">
        <v>46397</v>
      </c>
      <c r="E58" s="107">
        <v>46367</v>
      </c>
      <c r="F58" s="35">
        <f t="shared" si="16"/>
        <v>10</v>
      </c>
      <c r="G58" s="27"/>
      <c r="H58" s="23">
        <v>0</v>
      </c>
      <c r="I58" s="108" t="str">
        <f t="shared" si="18"/>
        <v/>
      </c>
      <c r="J58" s="108" t="str">
        <f t="shared" si="18"/>
        <v/>
      </c>
      <c r="K58" s="108" t="str">
        <f t="shared" si="18"/>
        <v/>
      </c>
      <c r="L58" s="108" t="str">
        <f t="shared" si="18"/>
        <v/>
      </c>
      <c r="M58" s="108" t="str">
        <f t="shared" si="18"/>
        <v/>
      </c>
      <c r="N58" s="108" t="str">
        <f t="shared" si="18"/>
        <v/>
      </c>
      <c r="O58" s="108" t="str">
        <f t="shared" si="18"/>
        <v/>
      </c>
      <c r="P58" s="108" t="str">
        <f t="shared" si="18"/>
        <v/>
      </c>
      <c r="Q58" s="108" t="str">
        <f t="shared" si="18"/>
        <v/>
      </c>
      <c r="R58" s="108" t="str">
        <f t="shared" si="18"/>
        <v/>
      </c>
      <c r="S58" s="108" t="str">
        <f t="shared" si="18"/>
        <v/>
      </c>
      <c r="T58" s="108" t="str">
        <f t="shared" si="18"/>
        <v/>
      </c>
      <c r="U58" s="108" t="str">
        <f t="shared" si="18"/>
        <v/>
      </c>
      <c r="V58" s="108" t="str">
        <f t="shared" si="18"/>
        <v/>
      </c>
      <c r="W58" s="108" t="str">
        <f t="shared" si="18"/>
        <v/>
      </c>
      <c r="X58" s="108" t="str">
        <f t="shared" si="18"/>
        <v/>
      </c>
      <c r="Y58" s="108" t="str">
        <f t="shared" si="17"/>
        <v/>
      </c>
      <c r="Z58" s="108" t="str">
        <f t="shared" si="17"/>
        <v/>
      </c>
      <c r="AA58" s="108" t="str">
        <f t="shared" si="17"/>
        <v/>
      </c>
      <c r="AB58" s="108" t="str">
        <f t="shared" si="17"/>
        <v/>
      </c>
      <c r="AC58" s="108" t="str">
        <f t="shared" si="17"/>
        <v/>
      </c>
      <c r="AD58" s="108" t="str">
        <f t="shared" si="17"/>
        <v/>
      </c>
      <c r="AE58" s="108" t="str">
        <f t="shared" si="17"/>
        <v/>
      </c>
      <c r="AF58" s="108" t="str">
        <f t="shared" si="17"/>
        <v/>
      </c>
      <c r="AG58" s="108" t="str">
        <f t="shared" si="17"/>
        <v/>
      </c>
      <c r="AH58" s="108" t="str">
        <f t="shared" si="17"/>
        <v/>
      </c>
      <c r="AI58" s="108">
        <f t="shared" si="17"/>
        <v>0</v>
      </c>
      <c r="AJ58" s="108" t="str">
        <f t="shared" si="17"/>
        <v/>
      </c>
      <c r="AK58" s="108" t="str">
        <f t="shared" si="17"/>
        <v/>
      </c>
      <c r="AL58" s="108" t="str">
        <f t="shared" si="17"/>
        <v/>
      </c>
      <c r="AM58" s="108" t="str">
        <f t="shared" si="17"/>
        <v/>
      </c>
      <c r="AN58" s="108" t="str">
        <f t="shared" si="14"/>
        <v/>
      </c>
      <c r="AO58" s="108" t="str">
        <f t="shared" si="14"/>
        <v/>
      </c>
      <c r="AP58" s="108" t="str">
        <f t="shared" si="14"/>
        <v/>
      </c>
      <c r="AQ58" s="108" t="str">
        <f t="shared" si="14"/>
        <v/>
      </c>
      <c r="AR58" s="108" t="str">
        <f t="shared" si="14"/>
        <v/>
      </c>
      <c r="AS58" s="108" t="str">
        <f t="shared" si="14"/>
        <v/>
      </c>
      <c r="AT58" s="108" t="str">
        <f t="shared" si="14"/>
        <v/>
      </c>
      <c r="AU58" s="111" t="str">
        <f t="shared" si="14"/>
        <v/>
      </c>
      <c r="AV58" s="120"/>
    </row>
    <row r="59" spans="1:48" ht="15" customHeight="1" outlineLevel="1">
      <c r="A59" s="31" t="s">
        <v>62</v>
      </c>
      <c r="B59" s="104" t="s">
        <v>18</v>
      </c>
      <c r="C59" s="105">
        <v>46341</v>
      </c>
      <c r="D59" s="107">
        <v>46387</v>
      </c>
      <c r="E59" s="107">
        <f>+C59+160</f>
        <v>46501</v>
      </c>
      <c r="F59" s="35">
        <f t="shared" si="16"/>
        <v>160</v>
      </c>
      <c r="G59" s="27"/>
      <c r="H59" s="23">
        <v>0</v>
      </c>
      <c r="I59" s="108" t="str">
        <f t="shared" si="18"/>
        <v/>
      </c>
      <c r="J59" s="108" t="str">
        <f t="shared" si="18"/>
        <v/>
      </c>
      <c r="K59" s="108" t="str">
        <f t="shared" si="18"/>
        <v/>
      </c>
      <c r="L59" s="108" t="str">
        <f t="shared" si="18"/>
        <v/>
      </c>
      <c r="M59" s="108" t="str">
        <f t="shared" si="18"/>
        <v/>
      </c>
      <c r="N59" s="108" t="str">
        <f t="shared" si="18"/>
        <v/>
      </c>
      <c r="O59" s="108" t="str">
        <f t="shared" si="18"/>
        <v/>
      </c>
      <c r="P59" s="108" t="str">
        <f t="shared" si="18"/>
        <v/>
      </c>
      <c r="Q59" s="108" t="str">
        <f t="shared" si="18"/>
        <v/>
      </c>
      <c r="R59" s="108" t="str">
        <f t="shared" si="18"/>
        <v/>
      </c>
      <c r="S59" s="108" t="str">
        <f t="shared" si="18"/>
        <v/>
      </c>
      <c r="T59" s="108" t="str">
        <f t="shared" si="18"/>
        <v/>
      </c>
      <c r="U59" s="108" t="str">
        <f t="shared" si="18"/>
        <v/>
      </c>
      <c r="V59" s="108" t="str">
        <f t="shared" si="18"/>
        <v/>
      </c>
      <c r="W59" s="108" t="str">
        <f t="shared" si="18"/>
        <v/>
      </c>
      <c r="X59" s="108" t="str">
        <f t="shared" si="18"/>
        <v/>
      </c>
      <c r="Y59" s="108" t="str">
        <f t="shared" si="17"/>
        <v/>
      </c>
      <c r="Z59" s="108" t="str">
        <f t="shared" si="17"/>
        <v/>
      </c>
      <c r="AA59" s="108" t="str">
        <f t="shared" si="17"/>
        <v/>
      </c>
      <c r="AB59" s="108" t="str">
        <f t="shared" si="17"/>
        <v/>
      </c>
      <c r="AC59" s="108" t="str">
        <f t="shared" si="17"/>
        <v/>
      </c>
      <c r="AD59" s="108" t="str">
        <f t="shared" si="17"/>
        <v/>
      </c>
      <c r="AE59" s="108" t="str">
        <f t="shared" si="17"/>
        <v/>
      </c>
      <c r="AF59" s="108" t="str">
        <f t="shared" si="17"/>
        <v/>
      </c>
      <c r="AG59" s="108" t="str">
        <f t="shared" si="17"/>
        <v/>
      </c>
      <c r="AH59" s="109">
        <f>IF(AND(AH$4&lt;=$C59,AH$4&lt;=$E59),$H59,"")</f>
        <v>0</v>
      </c>
      <c r="AI59" s="109"/>
      <c r="AJ59" s="109"/>
      <c r="AK59" s="109"/>
      <c r="AL59" s="109"/>
      <c r="AM59" s="109"/>
      <c r="AN59" s="108" t="str">
        <f t="shared" si="14"/>
        <v/>
      </c>
      <c r="AO59" s="108" t="str">
        <f t="shared" si="14"/>
        <v/>
      </c>
      <c r="AP59" s="108" t="str">
        <f t="shared" si="14"/>
        <v/>
      </c>
      <c r="AQ59" s="108" t="str">
        <f t="shared" si="14"/>
        <v/>
      </c>
      <c r="AR59" s="108" t="str">
        <f t="shared" si="14"/>
        <v/>
      </c>
      <c r="AS59" s="108" t="str">
        <f t="shared" si="14"/>
        <v/>
      </c>
      <c r="AT59" s="108" t="str">
        <f t="shared" si="14"/>
        <v/>
      </c>
      <c r="AU59" s="111" t="str">
        <f t="shared" si="14"/>
        <v/>
      </c>
      <c r="AV59" s="120"/>
    </row>
    <row r="60" spans="1:48" ht="15" customHeight="1" outlineLevel="1">
      <c r="A60" s="31"/>
      <c r="B60" s="104" t="s">
        <v>123</v>
      </c>
      <c r="C60" s="105">
        <v>46487</v>
      </c>
      <c r="D60" s="107"/>
      <c r="E60" s="107">
        <f>+C60+10</f>
        <v>46497</v>
      </c>
      <c r="F60" s="35">
        <f t="shared" si="16"/>
        <v>10</v>
      </c>
      <c r="G60" s="27"/>
      <c r="H60" s="23">
        <v>0</v>
      </c>
      <c r="I60" s="108" t="str">
        <f t="shared" si="18"/>
        <v/>
      </c>
      <c r="J60" s="108" t="str">
        <f t="shared" si="18"/>
        <v/>
      </c>
      <c r="K60" s="108" t="str">
        <f t="shared" si="18"/>
        <v/>
      </c>
      <c r="L60" s="108" t="str">
        <f t="shared" si="18"/>
        <v/>
      </c>
      <c r="M60" s="108" t="str">
        <f t="shared" si="18"/>
        <v/>
      </c>
      <c r="N60" s="108" t="str">
        <f t="shared" si="18"/>
        <v/>
      </c>
      <c r="O60" s="108" t="str">
        <f t="shared" si="18"/>
        <v/>
      </c>
      <c r="P60" s="108" t="str">
        <f t="shared" si="18"/>
        <v/>
      </c>
      <c r="Q60" s="108" t="str">
        <f t="shared" si="18"/>
        <v/>
      </c>
      <c r="R60" s="108" t="str">
        <f t="shared" si="18"/>
        <v/>
      </c>
      <c r="S60" s="108" t="str">
        <f t="shared" si="18"/>
        <v/>
      </c>
      <c r="T60" s="108" t="str">
        <f t="shared" si="18"/>
        <v/>
      </c>
      <c r="U60" s="108" t="str">
        <f t="shared" si="18"/>
        <v/>
      </c>
      <c r="V60" s="108" t="str">
        <f t="shared" si="18"/>
        <v/>
      </c>
      <c r="W60" s="108" t="str">
        <f t="shared" si="18"/>
        <v/>
      </c>
      <c r="X60" s="108" t="str">
        <f t="shared" si="18"/>
        <v/>
      </c>
      <c r="Y60" s="108" t="str">
        <f t="shared" si="17"/>
        <v/>
      </c>
      <c r="Z60" s="108" t="str">
        <f t="shared" si="17"/>
        <v/>
      </c>
      <c r="AA60" s="108" t="str">
        <f t="shared" si="17"/>
        <v/>
      </c>
      <c r="AB60" s="108" t="str">
        <f t="shared" si="17"/>
        <v/>
      </c>
      <c r="AC60" s="108" t="str">
        <f t="shared" si="17"/>
        <v/>
      </c>
      <c r="AD60" s="108" t="str">
        <f t="shared" si="17"/>
        <v/>
      </c>
      <c r="AE60" s="108" t="str">
        <f t="shared" si="17"/>
        <v/>
      </c>
      <c r="AF60" s="108" t="str">
        <f t="shared" si="17"/>
        <v/>
      </c>
      <c r="AG60" s="108" t="str">
        <f t="shared" si="17"/>
        <v/>
      </c>
      <c r="AH60" s="108" t="str">
        <f t="shared" si="17"/>
        <v/>
      </c>
      <c r="AI60" s="108" t="str">
        <f t="shared" si="17"/>
        <v/>
      </c>
      <c r="AJ60" s="108" t="str">
        <f t="shared" si="17"/>
        <v/>
      </c>
      <c r="AK60" s="108" t="str">
        <f t="shared" si="17"/>
        <v/>
      </c>
      <c r="AL60" s="108" t="str">
        <f t="shared" si="17"/>
        <v/>
      </c>
      <c r="AM60" s="108">
        <f>IF(AND(AM$4&lt;=$C60,AM$4&lt;=$E60),$H60,"")</f>
        <v>0</v>
      </c>
      <c r="AN60" s="108" t="str">
        <f t="shared" si="14"/>
        <v/>
      </c>
      <c r="AO60" s="108" t="str">
        <f t="shared" si="14"/>
        <v/>
      </c>
      <c r="AP60" s="108" t="str">
        <f t="shared" si="14"/>
        <v/>
      </c>
      <c r="AQ60" s="108" t="str">
        <f t="shared" si="14"/>
        <v/>
      </c>
      <c r="AR60" s="108" t="str">
        <f t="shared" si="14"/>
        <v/>
      </c>
      <c r="AS60" s="108" t="str">
        <f t="shared" si="14"/>
        <v/>
      </c>
      <c r="AT60" s="108" t="str">
        <f t="shared" si="14"/>
        <v/>
      </c>
      <c r="AU60" s="111" t="str">
        <f t="shared" si="14"/>
        <v/>
      </c>
      <c r="AV60" s="120"/>
    </row>
    <row r="61" spans="1:48" ht="15" customHeight="1" outlineLevel="1">
      <c r="A61" s="31" t="s">
        <v>63</v>
      </c>
      <c r="B61" s="104" t="s">
        <v>111</v>
      </c>
      <c r="C61" s="107">
        <v>46478</v>
      </c>
      <c r="D61" s="107">
        <v>46371</v>
      </c>
      <c r="E61" s="107">
        <f>+C61+30</f>
        <v>46508</v>
      </c>
      <c r="F61" s="35">
        <f t="shared" si="16"/>
        <v>30</v>
      </c>
      <c r="G61" s="27"/>
      <c r="H61" s="23">
        <v>0</v>
      </c>
      <c r="I61" s="108" t="str">
        <f t="shared" si="18"/>
        <v/>
      </c>
      <c r="J61" s="108" t="str">
        <f t="shared" si="18"/>
        <v/>
      </c>
      <c r="K61" s="108" t="str">
        <f t="shared" si="18"/>
        <v/>
      </c>
      <c r="L61" s="108" t="str">
        <f t="shared" si="18"/>
        <v/>
      </c>
      <c r="M61" s="108" t="str">
        <f t="shared" si="18"/>
        <v/>
      </c>
      <c r="N61" s="108" t="str">
        <f t="shared" si="18"/>
        <v/>
      </c>
      <c r="O61" s="108" t="str">
        <f t="shared" si="18"/>
        <v/>
      </c>
      <c r="P61" s="108" t="str">
        <f t="shared" si="18"/>
        <v/>
      </c>
      <c r="Q61" s="108" t="str">
        <f t="shared" si="18"/>
        <v/>
      </c>
      <c r="R61" s="108" t="str">
        <f t="shared" si="18"/>
        <v/>
      </c>
      <c r="S61" s="108" t="str">
        <f t="shared" si="18"/>
        <v/>
      </c>
      <c r="T61" s="108" t="str">
        <f t="shared" si="18"/>
        <v/>
      </c>
      <c r="U61" s="108" t="str">
        <f t="shared" si="18"/>
        <v/>
      </c>
      <c r="V61" s="108" t="str">
        <f t="shared" si="18"/>
        <v/>
      </c>
      <c r="W61" s="108" t="str">
        <f t="shared" si="18"/>
        <v/>
      </c>
      <c r="X61" s="108" t="str">
        <f t="shared" si="18"/>
        <v/>
      </c>
      <c r="Y61" s="108" t="str">
        <f t="shared" si="17"/>
        <v/>
      </c>
      <c r="Z61" s="108" t="str">
        <f t="shared" si="17"/>
        <v/>
      </c>
      <c r="AA61" s="108" t="str">
        <f t="shared" si="17"/>
        <v/>
      </c>
      <c r="AB61" s="108" t="str">
        <f t="shared" si="17"/>
        <v/>
      </c>
      <c r="AC61" s="108" t="str">
        <f t="shared" si="17"/>
        <v/>
      </c>
      <c r="AD61" s="108" t="str">
        <f t="shared" si="17"/>
        <v/>
      </c>
      <c r="AE61" s="108" t="str">
        <f t="shared" si="17"/>
        <v/>
      </c>
      <c r="AF61" s="108" t="str">
        <f t="shared" si="17"/>
        <v/>
      </c>
      <c r="AG61" s="108" t="str">
        <f t="shared" si="17"/>
        <v/>
      </c>
      <c r="AH61" s="108" t="str">
        <f t="shared" si="17"/>
        <v/>
      </c>
      <c r="AI61" s="108" t="str">
        <f t="shared" si="17"/>
        <v/>
      </c>
      <c r="AJ61" s="108" t="str">
        <f t="shared" si="17"/>
        <v/>
      </c>
      <c r="AK61" s="108" t="str">
        <f t="shared" si="17"/>
        <v/>
      </c>
      <c r="AL61" s="108" t="str">
        <f t="shared" si="17"/>
        <v/>
      </c>
      <c r="AM61" s="122">
        <f t="shared" si="17"/>
        <v>0</v>
      </c>
      <c r="AN61" s="124"/>
      <c r="AO61" s="108" t="str">
        <f t="shared" ref="AO61:AU61" si="19">IF(AND(AO$4&gt;=$C61,AO$4&lt;=$E61),$H61,"")</f>
        <v/>
      </c>
      <c r="AP61" s="108" t="str">
        <f t="shared" si="19"/>
        <v/>
      </c>
      <c r="AQ61" s="108" t="str">
        <f t="shared" si="19"/>
        <v/>
      </c>
      <c r="AR61" s="108" t="str">
        <f t="shared" si="19"/>
        <v/>
      </c>
      <c r="AS61" s="108" t="str">
        <f t="shared" si="19"/>
        <v/>
      </c>
      <c r="AT61" s="108" t="str">
        <f t="shared" si="19"/>
        <v/>
      </c>
      <c r="AU61" s="111" t="str">
        <f t="shared" si="19"/>
        <v/>
      </c>
      <c r="AV61" s="120"/>
    </row>
    <row r="62" spans="1:48" ht="15" customHeight="1" outlineLevel="1">
      <c r="A62" s="31" t="s">
        <v>64</v>
      </c>
      <c r="B62" s="104" t="s">
        <v>22</v>
      </c>
      <c r="C62" s="107">
        <f>+E62-136</f>
        <v>46326</v>
      </c>
      <c r="D62" s="107">
        <v>46446</v>
      </c>
      <c r="E62" s="107">
        <f>+C57+182</f>
        <v>46462</v>
      </c>
      <c r="F62" s="35">
        <f t="shared" si="16"/>
        <v>136</v>
      </c>
      <c r="G62" s="28"/>
      <c r="H62" s="23">
        <v>0</v>
      </c>
      <c r="I62" s="108" t="str">
        <f t="shared" si="18"/>
        <v/>
      </c>
      <c r="J62" s="108" t="str">
        <f t="shared" si="18"/>
        <v/>
      </c>
      <c r="K62" s="108" t="str">
        <f t="shared" si="18"/>
        <v/>
      </c>
      <c r="L62" s="108" t="str">
        <f t="shared" si="18"/>
        <v/>
      </c>
      <c r="M62" s="108" t="str">
        <f t="shared" si="18"/>
        <v/>
      </c>
      <c r="N62" s="108" t="str">
        <f t="shared" si="18"/>
        <v/>
      </c>
      <c r="O62" s="108" t="str">
        <f t="shared" si="18"/>
        <v/>
      </c>
      <c r="P62" s="108" t="str">
        <f t="shared" si="18"/>
        <v/>
      </c>
      <c r="Q62" s="108" t="str">
        <f t="shared" si="18"/>
        <v/>
      </c>
      <c r="R62" s="108" t="str">
        <f t="shared" si="18"/>
        <v/>
      </c>
      <c r="S62" s="108" t="str">
        <f t="shared" si="18"/>
        <v/>
      </c>
      <c r="T62" s="108" t="str">
        <f t="shared" si="18"/>
        <v/>
      </c>
      <c r="U62" s="108" t="str">
        <f t="shared" si="18"/>
        <v/>
      </c>
      <c r="V62" s="108" t="str">
        <f t="shared" si="18"/>
        <v/>
      </c>
      <c r="W62" s="108" t="str">
        <f t="shared" si="18"/>
        <v/>
      </c>
      <c r="X62" s="108" t="str">
        <f t="shared" si="18"/>
        <v/>
      </c>
      <c r="Y62" s="108" t="str">
        <f t="shared" si="17"/>
        <v/>
      </c>
      <c r="Z62" s="108" t="str">
        <f t="shared" si="17"/>
        <v/>
      </c>
      <c r="AA62" s="108" t="str">
        <f t="shared" si="17"/>
        <v/>
      </c>
      <c r="AB62" s="108" t="str">
        <f t="shared" si="17"/>
        <v/>
      </c>
      <c r="AC62" s="108" t="str">
        <f t="shared" si="17"/>
        <v/>
      </c>
      <c r="AD62" s="108" t="str">
        <f t="shared" si="17"/>
        <v/>
      </c>
      <c r="AE62" s="108" t="str">
        <f t="shared" si="17"/>
        <v/>
      </c>
      <c r="AF62" s="108" t="str">
        <f t="shared" si="17"/>
        <v/>
      </c>
      <c r="AG62" s="108" t="str">
        <f t="shared" si="17"/>
        <v/>
      </c>
      <c r="AH62" s="122">
        <f t="shared" si="17"/>
        <v>0</v>
      </c>
      <c r="AI62" s="123"/>
      <c r="AJ62" s="123"/>
      <c r="AK62" s="123"/>
      <c r="AL62" s="124"/>
      <c r="AM62" s="108" t="str">
        <f t="shared" si="17"/>
        <v/>
      </c>
      <c r="AN62" s="108" t="str">
        <f t="shared" ref="AN62:AU93" si="20">IF(AND(AN$4&gt;=$C62,AN$4&lt;=$E62),$H62,"")</f>
        <v/>
      </c>
      <c r="AO62" s="108" t="str">
        <f t="shared" si="20"/>
        <v/>
      </c>
      <c r="AP62" s="108" t="str">
        <f t="shared" si="20"/>
        <v/>
      </c>
      <c r="AQ62" s="108" t="str">
        <f t="shared" si="20"/>
        <v/>
      </c>
      <c r="AR62" s="108" t="str">
        <f t="shared" si="20"/>
        <v/>
      </c>
      <c r="AS62" s="108" t="str">
        <f t="shared" si="20"/>
        <v/>
      </c>
      <c r="AT62" s="108" t="str">
        <f t="shared" si="20"/>
        <v/>
      </c>
      <c r="AU62" s="111" t="str">
        <f t="shared" si="20"/>
        <v/>
      </c>
      <c r="AV62" s="121"/>
    </row>
    <row r="63" spans="1:48" ht="15" customHeight="1">
      <c r="A63" s="125" t="s">
        <v>65</v>
      </c>
      <c r="B63" s="126"/>
      <c r="C63" s="127"/>
      <c r="D63" s="128"/>
      <c r="E63" s="80"/>
      <c r="F63" s="62" t="str">
        <f>ROUNDUP((D69-C64)/30,0) &amp;"MONTHS"</f>
        <v>6MONTHS</v>
      </c>
      <c r="G63" s="26">
        <f>SUM(AC4-C64)/30</f>
        <v>-4.0666666666666664</v>
      </c>
      <c r="H63" s="12">
        <f t="array" ref="H63">SUMPRODUCT(H64:H69/3)</f>
        <v>0</v>
      </c>
      <c r="I63" s="108" t="str">
        <f t="shared" si="18"/>
        <v/>
      </c>
      <c r="J63" s="108" t="str">
        <f t="shared" si="18"/>
        <v/>
      </c>
      <c r="K63" s="108" t="str">
        <f t="shared" si="18"/>
        <v/>
      </c>
      <c r="L63" s="108" t="str">
        <f t="shared" si="18"/>
        <v/>
      </c>
      <c r="M63" s="108" t="str">
        <f t="shared" si="18"/>
        <v/>
      </c>
      <c r="N63" s="108" t="str">
        <f t="shared" si="18"/>
        <v/>
      </c>
      <c r="O63" s="108" t="str">
        <f t="shared" si="18"/>
        <v/>
      </c>
      <c r="P63" s="108" t="str">
        <f t="shared" si="18"/>
        <v/>
      </c>
      <c r="Q63" s="108" t="str">
        <f t="shared" si="18"/>
        <v/>
      </c>
      <c r="R63" s="108" t="str">
        <f t="shared" si="18"/>
        <v/>
      </c>
      <c r="S63" s="108" t="str">
        <f t="shared" si="18"/>
        <v/>
      </c>
      <c r="T63" s="108" t="str">
        <f t="shared" si="18"/>
        <v/>
      </c>
      <c r="U63" s="108" t="str">
        <f t="shared" si="18"/>
        <v/>
      </c>
      <c r="V63" s="108" t="str">
        <f t="shared" si="18"/>
        <v/>
      </c>
      <c r="W63" s="108" t="str">
        <f t="shared" si="18"/>
        <v/>
      </c>
      <c r="X63" s="108" t="str">
        <f t="shared" si="18"/>
        <v/>
      </c>
      <c r="Y63" s="108" t="str">
        <f t="shared" si="17"/>
        <v/>
      </c>
      <c r="Z63" s="108" t="str">
        <f t="shared" si="17"/>
        <v/>
      </c>
      <c r="AA63" s="108" t="str">
        <f t="shared" si="17"/>
        <v/>
      </c>
      <c r="AB63" s="108" t="str">
        <f t="shared" si="17"/>
        <v/>
      </c>
      <c r="AC63" s="108" t="str">
        <f t="shared" si="17"/>
        <v/>
      </c>
      <c r="AD63" s="108" t="str">
        <f t="shared" si="17"/>
        <v/>
      </c>
      <c r="AE63" s="108" t="str">
        <f t="shared" si="17"/>
        <v/>
      </c>
      <c r="AF63" s="108" t="str">
        <f t="shared" si="17"/>
        <v/>
      </c>
      <c r="AG63" s="108" t="str">
        <f t="shared" si="17"/>
        <v/>
      </c>
      <c r="AH63" s="108" t="str">
        <f t="shared" si="17"/>
        <v/>
      </c>
      <c r="AI63" s="108" t="str">
        <f t="shared" si="17"/>
        <v/>
      </c>
      <c r="AJ63" s="108" t="str">
        <f t="shared" si="17"/>
        <v/>
      </c>
      <c r="AK63" s="108" t="str">
        <f t="shared" si="17"/>
        <v/>
      </c>
      <c r="AL63" s="108" t="str">
        <f t="shared" si="17"/>
        <v/>
      </c>
      <c r="AM63" s="108" t="str">
        <f t="shared" si="17"/>
        <v/>
      </c>
      <c r="AN63" s="108" t="str">
        <f t="shared" si="20"/>
        <v/>
      </c>
      <c r="AO63" s="108" t="str">
        <f t="shared" si="20"/>
        <v/>
      </c>
      <c r="AP63" s="108" t="str">
        <f t="shared" si="20"/>
        <v/>
      </c>
      <c r="AQ63" s="108" t="str">
        <f t="shared" si="20"/>
        <v/>
      </c>
      <c r="AR63" s="108" t="str">
        <f t="shared" si="20"/>
        <v/>
      </c>
      <c r="AS63" s="108" t="str">
        <f t="shared" si="20"/>
        <v/>
      </c>
      <c r="AT63" s="108" t="str">
        <f t="shared" si="20"/>
        <v/>
      </c>
      <c r="AU63" s="111" t="str">
        <f t="shared" si="20"/>
        <v/>
      </c>
      <c r="AV63" s="115"/>
    </row>
    <row r="64" spans="1:48" ht="15" customHeight="1" outlineLevel="1">
      <c r="A64" s="31" t="s">
        <v>66</v>
      </c>
      <c r="B64" s="104" t="s">
        <v>11</v>
      </c>
      <c r="C64" s="105">
        <v>46296</v>
      </c>
      <c r="D64" s="105">
        <f>+C64+122</f>
        <v>46418</v>
      </c>
      <c r="E64" s="105">
        <v>46418</v>
      </c>
      <c r="F64" s="35">
        <f t="shared" si="16"/>
        <v>122</v>
      </c>
      <c r="G64" s="24" t="s">
        <v>115</v>
      </c>
      <c r="H64" s="23">
        <v>0</v>
      </c>
      <c r="I64" s="108" t="str">
        <f t="shared" si="18"/>
        <v/>
      </c>
      <c r="J64" s="108" t="str">
        <f t="shared" si="18"/>
        <v/>
      </c>
      <c r="K64" s="108" t="str">
        <f t="shared" si="18"/>
        <v/>
      </c>
      <c r="L64" s="108" t="str">
        <f t="shared" si="18"/>
        <v/>
      </c>
      <c r="M64" s="108" t="str">
        <f t="shared" si="18"/>
        <v/>
      </c>
      <c r="N64" s="108" t="str">
        <f t="shared" si="18"/>
        <v/>
      </c>
      <c r="O64" s="108" t="str">
        <f t="shared" si="18"/>
        <v/>
      </c>
      <c r="P64" s="108" t="str">
        <f t="shared" si="18"/>
        <v/>
      </c>
      <c r="Q64" s="108" t="str">
        <f t="shared" si="18"/>
        <v/>
      </c>
      <c r="R64" s="108" t="str">
        <f t="shared" si="18"/>
        <v/>
      </c>
      <c r="S64" s="108" t="str">
        <f t="shared" si="18"/>
        <v/>
      </c>
      <c r="T64" s="108" t="str">
        <f t="shared" si="18"/>
        <v/>
      </c>
      <c r="U64" s="108" t="str">
        <f t="shared" si="18"/>
        <v/>
      </c>
      <c r="V64" s="108" t="str">
        <f t="shared" si="18"/>
        <v/>
      </c>
      <c r="W64" s="108" t="str">
        <f t="shared" si="18"/>
        <v/>
      </c>
      <c r="X64" s="108" t="str">
        <f t="shared" si="18"/>
        <v/>
      </c>
      <c r="Y64" s="108" t="str">
        <f t="shared" si="17"/>
        <v/>
      </c>
      <c r="Z64" s="108" t="str">
        <f t="shared" si="17"/>
        <v/>
      </c>
      <c r="AA64" s="108" t="str">
        <f t="shared" si="17"/>
        <v/>
      </c>
      <c r="AB64" s="108" t="str">
        <f t="shared" si="17"/>
        <v/>
      </c>
      <c r="AC64" s="108" t="str">
        <f t="shared" si="17"/>
        <v/>
      </c>
      <c r="AD64" s="108" t="str">
        <f t="shared" si="17"/>
        <v/>
      </c>
      <c r="AE64" s="108" t="str">
        <f t="shared" si="17"/>
        <v/>
      </c>
      <c r="AF64" s="108" t="str">
        <f t="shared" si="17"/>
        <v/>
      </c>
      <c r="AG64" s="122">
        <f t="shared" si="17"/>
        <v>0</v>
      </c>
      <c r="AH64" s="123"/>
      <c r="AI64" s="123"/>
      <c r="AJ64" s="124"/>
      <c r="AK64" s="108" t="str">
        <f t="shared" si="17"/>
        <v/>
      </c>
      <c r="AL64" s="108" t="str">
        <f t="shared" si="17"/>
        <v/>
      </c>
      <c r="AM64" s="108" t="str">
        <f t="shared" si="17"/>
        <v/>
      </c>
      <c r="AN64" s="108" t="str">
        <f t="shared" si="20"/>
        <v/>
      </c>
      <c r="AO64" s="108" t="str">
        <f t="shared" si="20"/>
        <v/>
      </c>
      <c r="AP64" s="108" t="str">
        <f t="shared" si="20"/>
        <v/>
      </c>
      <c r="AQ64" s="108" t="str">
        <f t="shared" si="20"/>
        <v/>
      </c>
      <c r="AR64" s="108" t="str">
        <f t="shared" si="20"/>
        <v/>
      </c>
      <c r="AS64" s="108" t="str">
        <f t="shared" si="20"/>
        <v/>
      </c>
      <c r="AT64" s="108" t="str">
        <f t="shared" si="20"/>
        <v/>
      </c>
      <c r="AU64" s="111" t="str">
        <f t="shared" si="20"/>
        <v/>
      </c>
      <c r="AV64" s="119" t="s">
        <v>126</v>
      </c>
    </row>
    <row r="65" spans="1:48" ht="15" customHeight="1" outlineLevel="1">
      <c r="A65" s="31" t="s">
        <v>67</v>
      </c>
      <c r="B65" s="104" t="s">
        <v>122</v>
      </c>
      <c r="C65" s="105">
        <v>46372</v>
      </c>
      <c r="D65" s="107">
        <v>46387</v>
      </c>
      <c r="E65" s="107">
        <f>+C65+10</f>
        <v>46382</v>
      </c>
      <c r="F65" s="35">
        <f t="shared" si="16"/>
        <v>10</v>
      </c>
      <c r="G65" s="27"/>
      <c r="H65" s="23">
        <v>0</v>
      </c>
      <c r="I65" s="108" t="str">
        <f t="shared" si="18"/>
        <v/>
      </c>
      <c r="J65" s="108" t="str">
        <f t="shared" si="18"/>
        <v/>
      </c>
      <c r="K65" s="108" t="str">
        <f t="shared" si="18"/>
        <v/>
      </c>
      <c r="L65" s="108" t="str">
        <f t="shared" si="18"/>
        <v/>
      </c>
      <c r="M65" s="108" t="str">
        <f t="shared" si="18"/>
        <v/>
      </c>
      <c r="N65" s="108" t="str">
        <f t="shared" si="18"/>
        <v/>
      </c>
      <c r="O65" s="108" t="str">
        <f t="shared" si="18"/>
        <v/>
      </c>
      <c r="P65" s="108" t="str">
        <f t="shared" si="18"/>
        <v/>
      </c>
      <c r="Q65" s="108" t="str">
        <f t="shared" si="18"/>
        <v/>
      </c>
      <c r="R65" s="108" t="str">
        <f t="shared" si="18"/>
        <v/>
      </c>
      <c r="S65" s="108" t="str">
        <f t="shared" si="18"/>
        <v/>
      </c>
      <c r="T65" s="108" t="str">
        <f t="shared" si="18"/>
        <v/>
      </c>
      <c r="U65" s="108" t="str">
        <f t="shared" si="18"/>
        <v/>
      </c>
      <c r="V65" s="108" t="str">
        <f t="shared" si="18"/>
        <v/>
      </c>
      <c r="W65" s="108" t="str">
        <f t="shared" si="18"/>
        <v/>
      </c>
      <c r="X65" s="108" t="str">
        <f t="shared" si="18"/>
        <v/>
      </c>
      <c r="Y65" s="108" t="str">
        <f t="shared" si="17"/>
        <v/>
      </c>
      <c r="Z65" s="108" t="str">
        <f t="shared" si="17"/>
        <v/>
      </c>
      <c r="AA65" s="108" t="str">
        <f t="shared" si="17"/>
        <v/>
      </c>
      <c r="AB65" s="108" t="str">
        <f t="shared" si="17"/>
        <v/>
      </c>
      <c r="AC65" s="108" t="str">
        <f t="shared" si="17"/>
        <v/>
      </c>
      <c r="AD65" s="108" t="str">
        <f t="shared" si="17"/>
        <v/>
      </c>
      <c r="AE65" s="108" t="str">
        <f t="shared" si="17"/>
        <v/>
      </c>
      <c r="AF65" s="108" t="str">
        <f t="shared" si="17"/>
        <v/>
      </c>
      <c r="AG65" s="108" t="str">
        <f t="shared" si="17"/>
        <v/>
      </c>
      <c r="AH65" s="108" t="str">
        <f t="shared" si="17"/>
        <v/>
      </c>
      <c r="AI65" s="108">
        <f>IF(AND(AI$4&lt;=$C65,AI$4&lt;=$E65),$H65,"")</f>
        <v>0</v>
      </c>
      <c r="AJ65" s="108" t="str">
        <f t="shared" si="17"/>
        <v/>
      </c>
      <c r="AK65" s="108" t="str">
        <f t="shared" si="17"/>
        <v/>
      </c>
      <c r="AL65" s="108" t="str">
        <f t="shared" si="17"/>
        <v/>
      </c>
      <c r="AM65" s="108" t="str">
        <f t="shared" si="17"/>
        <v/>
      </c>
      <c r="AN65" s="108" t="str">
        <f t="shared" si="20"/>
        <v/>
      </c>
      <c r="AO65" s="108" t="str">
        <f t="shared" si="20"/>
        <v/>
      </c>
      <c r="AP65" s="108" t="str">
        <f t="shared" si="20"/>
        <v/>
      </c>
      <c r="AQ65" s="108" t="str">
        <f t="shared" si="20"/>
        <v/>
      </c>
      <c r="AR65" s="108" t="str">
        <f t="shared" si="20"/>
        <v/>
      </c>
      <c r="AS65" s="108" t="str">
        <f t="shared" si="20"/>
        <v/>
      </c>
      <c r="AT65" s="108" t="str">
        <f t="shared" si="20"/>
        <v/>
      </c>
      <c r="AU65" s="111" t="str">
        <f t="shared" si="20"/>
        <v/>
      </c>
      <c r="AV65" s="120"/>
    </row>
    <row r="66" spans="1:48" ht="15" customHeight="1" outlineLevel="1">
      <c r="A66" s="31" t="s">
        <v>68</v>
      </c>
      <c r="B66" s="104" t="s">
        <v>18</v>
      </c>
      <c r="C66" s="105">
        <v>46327</v>
      </c>
      <c r="D66" s="107">
        <v>46387</v>
      </c>
      <c r="E66" s="107">
        <f>+C66+160</f>
        <v>46487</v>
      </c>
      <c r="F66" s="35">
        <f t="shared" si="16"/>
        <v>160</v>
      </c>
      <c r="G66" s="27"/>
      <c r="H66" s="23">
        <v>0</v>
      </c>
      <c r="I66" s="108" t="str">
        <f t="shared" si="18"/>
        <v/>
      </c>
      <c r="J66" s="108" t="str">
        <f t="shared" si="18"/>
        <v/>
      </c>
      <c r="K66" s="108" t="str">
        <f t="shared" si="18"/>
        <v/>
      </c>
      <c r="L66" s="108" t="str">
        <f t="shared" si="18"/>
        <v/>
      </c>
      <c r="M66" s="108" t="str">
        <f t="shared" si="18"/>
        <v/>
      </c>
      <c r="N66" s="108" t="str">
        <f t="shared" si="18"/>
        <v/>
      </c>
      <c r="O66" s="108" t="str">
        <f t="shared" si="18"/>
        <v/>
      </c>
      <c r="P66" s="108" t="str">
        <f t="shared" si="18"/>
        <v/>
      </c>
      <c r="Q66" s="108" t="str">
        <f t="shared" si="18"/>
        <v/>
      </c>
      <c r="R66" s="108" t="str">
        <f t="shared" si="18"/>
        <v/>
      </c>
      <c r="S66" s="108" t="str">
        <f t="shared" si="18"/>
        <v/>
      </c>
      <c r="T66" s="108" t="str">
        <f t="shared" si="18"/>
        <v/>
      </c>
      <c r="U66" s="108" t="str">
        <f t="shared" si="18"/>
        <v/>
      </c>
      <c r="V66" s="108" t="str">
        <f t="shared" si="18"/>
        <v/>
      </c>
      <c r="W66" s="108" t="str">
        <f t="shared" si="18"/>
        <v/>
      </c>
      <c r="X66" s="108" t="str">
        <f t="shared" si="18"/>
        <v/>
      </c>
      <c r="Y66" s="108" t="str">
        <f t="shared" si="17"/>
        <v/>
      </c>
      <c r="Z66" s="108" t="str">
        <f t="shared" si="17"/>
        <v/>
      </c>
      <c r="AA66" s="108" t="str">
        <f t="shared" si="17"/>
        <v/>
      </c>
      <c r="AB66" s="108" t="str">
        <f t="shared" si="17"/>
        <v/>
      </c>
      <c r="AC66" s="108" t="str">
        <f t="shared" si="17"/>
        <v/>
      </c>
      <c r="AD66" s="108" t="str">
        <f t="shared" si="17"/>
        <v/>
      </c>
      <c r="AE66" s="108" t="str">
        <f t="shared" si="17"/>
        <v/>
      </c>
      <c r="AF66" s="108" t="str">
        <f t="shared" si="17"/>
        <v/>
      </c>
      <c r="AG66" s="108" t="str">
        <f t="shared" si="17"/>
        <v/>
      </c>
      <c r="AH66" s="122">
        <f t="shared" si="17"/>
        <v>0</v>
      </c>
      <c r="AI66" s="123"/>
      <c r="AJ66" s="123"/>
      <c r="AK66" s="123"/>
      <c r="AL66" s="123"/>
      <c r="AM66" s="124"/>
      <c r="AN66" s="108" t="str">
        <f t="shared" si="20"/>
        <v/>
      </c>
      <c r="AO66" s="108" t="str">
        <f t="shared" si="20"/>
        <v/>
      </c>
      <c r="AP66" s="108" t="str">
        <f t="shared" si="20"/>
        <v/>
      </c>
      <c r="AQ66" s="108" t="str">
        <f t="shared" si="20"/>
        <v/>
      </c>
      <c r="AR66" s="108" t="str">
        <f t="shared" si="20"/>
        <v/>
      </c>
      <c r="AS66" s="108" t="str">
        <f t="shared" si="20"/>
        <v/>
      </c>
      <c r="AT66" s="108" t="str">
        <f t="shared" si="20"/>
        <v/>
      </c>
      <c r="AU66" s="111" t="str">
        <f t="shared" si="20"/>
        <v/>
      </c>
      <c r="AV66" s="120"/>
    </row>
    <row r="67" spans="1:48" ht="15" customHeight="1" outlineLevel="1">
      <c r="A67" s="31"/>
      <c r="B67" s="104" t="s">
        <v>123</v>
      </c>
      <c r="C67" s="105">
        <v>46471</v>
      </c>
      <c r="D67" s="107"/>
      <c r="E67" s="107">
        <f>+C67+10</f>
        <v>46481</v>
      </c>
      <c r="F67" s="35">
        <f t="shared" si="16"/>
        <v>10</v>
      </c>
      <c r="G67" s="27"/>
      <c r="H67" s="23">
        <v>0</v>
      </c>
      <c r="I67" s="108" t="str">
        <f t="shared" si="18"/>
        <v/>
      </c>
      <c r="J67" s="108" t="str">
        <f t="shared" si="18"/>
        <v/>
      </c>
      <c r="K67" s="108" t="str">
        <f t="shared" si="18"/>
        <v/>
      </c>
      <c r="L67" s="108" t="str">
        <f t="shared" si="18"/>
        <v/>
      </c>
      <c r="M67" s="108" t="str">
        <f t="shared" si="18"/>
        <v/>
      </c>
      <c r="N67" s="108" t="str">
        <f t="shared" si="18"/>
        <v/>
      </c>
      <c r="O67" s="108" t="str">
        <f t="shared" si="18"/>
        <v/>
      </c>
      <c r="P67" s="108" t="str">
        <f t="shared" si="18"/>
        <v/>
      </c>
      <c r="Q67" s="108" t="str">
        <f t="shared" si="18"/>
        <v/>
      </c>
      <c r="R67" s="108" t="str">
        <f t="shared" si="18"/>
        <v/>
      </c>
      <c r="S67" s="108" t="str">
        <f t="shared" si="18"/>
        <v/>
      </c>
      <c r="T67" s="108" t="str">
        <f t="shared" si="18"/>
        <v/>
      </c>
      <c r="U67" s="108" t="str">
        <f t="shared" si="18"/>
        <v/>
      </c>
      <c r="V67" s="108" t="str">
        <f t="shared" si="18"/>
        <v/>
      </c>
      <c r="W67" s="108" t="str">
        <f t="shared" si="18"/>
        <v/>
      </c>
      <c r="X67" s="108" t="str">
        <f t="shared" si="18"/>
        <v/>
      </c>
      <c r="Y67" s="108" t="str">
        <f t="shared" si="17"/>
        <v/>
      </c>
      <c r="Z67" s="108" t="str">
        <f t="shared" si="17"/>
        <v/>
      </c>
      <c r="AA67" s="108" t="str">
        <f t="shared" si="17"/>
        <v/>
      </c>
      <c r="AB67" s="108" t="str">
        <f t="shared" si="17"/>
        <v/>
      </c>
      <c r="AC67" s="108" t="str">
        <f t="shared" si="17"/>
        <v/>
      </c>
      <c r="AD67" s="108" t="str">
        <f t="shared" si="17"/>
        <v/>
      </c>
      <c r="AE67" s="108" t="str">
        <f t="shared" si="17"/>
        <v/>
      </c>
      <c r="AF67" s="108" t="str">
        <f t="shared" si="17"/>
        <v/>
      </c>
      <c r="AG67" s="108" t="str">
        <f t="shared" si="17"/>
        <v/>
      </c>
      <c r="AH67" s="108" t="str">
        <f t="shared" si="17"/>
        <v/>
      </c>
      <c r="AI67" s="108" t="str">
        <f t="shared" si="17"/>
        <v/>
      </c>
      <c r="AJ67" s="108" t="str">
        <f t="shared" si="17"/>
        <v/>
      </c>
      <c r="AK67" s="108" t="str">
        <f t="shared" si="17"/>
        <v/>
      </c>
      <c r="AL67" s="108" t="str">
        <f t="shared" si="17"/>
        <v/>
      </c>
      <c r="AM67" s="108">
        <f t="shared" si="17"/>
        <v>0</v>
      </c>
      <c r="AN67" s="108" t="str">
        <f t="shared" si="20"/>
        <v/>
      </c>
      <c r="AO67" s="108" t="str">
        <f t="shared" si="20"/>
        <v/>
      </c>
      <c r="AP67" s="108" t="str">
        <f t="shared" si="20"/>
        <v/>
      </c>
      <c r="AQ67" s="108" t="str">
        <f t="shared" si="20"/>
        <v/>
      </c>
      <c r="AR67" s="108" t="str">
        <f t="shared" si="20"/>
        <v/>
      </c>
      <c r="AS67" s="108" t="str">
        <f t="shared" si="20"/>
        <v/>
      </c>
      <c r="AT67" s="108" t="str">
        <f t="shared" si="20"/>
        <v/>
      </c>
      <c r="AU67" s="111" t="str">
        <f t="shared" si="20"/>
        <v/>
      </c>
      <c r="AV67" s="120"/>
    </row>
    <row r="68" spans="1:48" ht="15" customHeight="1" outlineLevel="1">
      <c r="A68" s="31" t="s">
        <v>69</v>
      </c>
      <c r="B68" s="104" t="s">
        <v>111</v>
      </c>
      <c r="C68" s="107">
        <v>46340</v>
      </c>
      <c r="D68" s="107">
        <v>46371</v>
      </c>
      <c r="E68" s="107">
        <v>46371</v>
      </c>
      <c r="F68" s="35">
        <f t="shared" si="16"/>
        <v>31</v>
      </c>
      <c r="G68" s="27"/>
      <c r="H68" s="23">
        <v>0</v>
      </c>
      <c r="I68" s="108" t="str">
        <f t="shared" si="18"/>
        <v/>
      </c>
      <c r="J68" s="108" t="str">
        <f t="shared" si="18"/>
        <v/>
      </c>
      <c r="K68" s="108" t="str">
        <f t="shared" si="18"/>
        <v/>
      </c>
      <c r="L68" s="108" t="str">
        <f t="shared" si="18"/>
        <v/>
      </c>
      <c r="M68" s="108" t="str">
        <f t="shared" si="18"/>
        <v/>
      </c>
      <c r="N68" s="108" t="str">
        <f t="shared" si="18"/>
        <v/>
      </c>
      <c r="O68" s="108" t="str">
        <f t="shared" si="18"/>
        <v/>
      </c>
      <c r="P68" s="108" t="str">
        <f t="shared" si="18"/>
        <v/>
      </c>
      <c r="Q68" s="108" t="str">
        <f t="shared" si="18"/>
        <v/>
      </c>
      <c r="R68" s="108" t="str">
        <f t="shared" si="18"/>
        <v/>
      </c>
      <c r="S68" s="108" t="str">
        <f t="shared" si="18"/>
        <v/>
      </c>
      <c r="T68" s="108" t="str">
        <f t="shared" si="18"/>
        <v/>
      </c>
      <c r="U68" s="108" t="str">
        <f t="shared" si="18"/>
        <v/>
      </c>
      <c r="V68" s="108" t="str">
        <f t="shared" si="18"/>
        <v/>
      </c>
      <c r="W68" s="108" t="str">
        <f t="shared" si="18"/>
        <v/>
      </c>
      <c r="X68" s="108" t="str">
        <f t="shared" ref="X68:AM83" si="21">IF(AND(X$4&gt;=$C68,X$4&lt;=$E68),$H68,"")</f>
        <v/>
      </c>
      <c r="Y68" s="108" t="str">
        <f t="shared" si="21"/>
        <v/>
      </c>
      <c r="Z68" s="108" t="str">
        <f t="shared" si="21"/>
        <v/>
      </c>
      <c r="AA68" s="108" t="str">
        <f t="shared" si="21"/>
        <v/>
      </c>
      <c r="AB68" s="108" t="str">
        <f t="shared" si="21"/>
        <v/>
      </c>
      <c r="AC68" s="108" t="str">
        <f t="shared" si="21"/>
        <v/>
      </c>
      <c r="AD68" s="108" t="str">
        <f t="shared" si="21"/>
        <v/>
      </c>
      <c r="AE68" s="108" t="str">
        <f t="shared" si="21"/>
        <v/>
      </c>
      <c r="AF68" s="108" t="str">
        <f t="shared" si="21"/>
        <v/>
      </c>
      <c r="AG68" s="108" t="str">
        <f t="shared" si="21"/>
        <v/>
      </c>
      <c r="AH68" s="122">
        <f>IF(AND(AH$4&lt;=$C68,AH$4&lt;=$E68),$H68,"")</f>
        <v>0</v>
      </c>
      <c r="AI68" s="124"/>
      <c r="AJ68" s="108" t="str">
        <f t="shared" si="21"/>
        <v/>
      </c>
      <c r="AK68" s="108" t="str">
        <f t="shared" si="21"/>
        <v/>
      </c>
      <c r="AL68" s="108" t="str">
        <f t="shared" si="21"/>
        <v/>
      </c>
      <c r="AM68" s="108" t="str">
        <f t="shared" si="21"/>
        <v/>
      </c>
      <c r="AN68" s="108" t="str">
        <f t="shared" si="20"/>
        <v/>
      </c>
      <c r="AO68" s="108" t="str">
        <f t="shared" si="20"/>
        <v/>
      </c>
      <c r="AP68" s="108" t="str">
        <f t="shared" si="20"/>
        <v/>
      </c>
      <c r="AQ68" s="108" t="str">
        <f t="shared" si="20"/>
        <v/>
      </c>
      <c r="AR68" s="108" t="str">
        <f t="shared" si="20"/>
        <v/>
      </c>
      <c r="AS68" s="108" t="str">
        <f t="shared" si="20"/>
        <v/>
      </c>
      <c r="AT68" s="108" t="str">
        <f t="shared" si="20"/>
        <v/>
      </c>
      <c r="AU68" s="111" t="str">
        <f t="shared" si="20"/>
        <v/>
      </c>
      <c r="AV68" s="120"/>
    </row>
    <row r="69" spans="1:48" ht="15" customHeight="1" outlineLevel="1">
      <c r="A69" s="31" t="s">
        <v>70</v>
      </c>
      <c r="B69" s="104" t="s">
        <v>22</v>
      </c>
      <c r="C69" s="107">
        <v>46326</v>
      </c>
      <c r="D69" s="107">
        <v>46464</v>
      </c>
      <c r="E69" s="107">
        <v>46464</v>
      </c>
      <c r="F69" s="35">
        <f t="shared" si="16"/>
        <v>138</v>
      </c>
      <c r="G69" s="28"/>
      <c r="H69" s="23">
        <v>0</v>
      </c>
      <c r="I69" s="108" t="str">
        <f t="shared" ref="I69:X84" si="22">IF(AND(I$4&gt;=$C69,I$4&lt;=$E69),$H69,"")</f>
        <v/>
      </c>
      <c r="J69" s="108" t="str">
        <f t="shared" si="22"/>
        <v/>
      </c>
      <c r="K69" s="108" t="str">
        <f t="shared" si="22"/>
        <v/>
      </c>
      <c r="L69" s="108" t="str">
        <f t="shared" si="22"/>
        <v/>
      </c>
      <c r="M69" s="108" t="str">
        <f t="shared" si="22"/>
        <v/>
      </c>
      <c r="N69" s="108" t="str">
        <f t="shared" si="22"/>
        <v/>
      </c>
      <c r="O69" s="108" t="str">
        <f t="shared" si="22"/>
        <v/>
      </c>
      <c r="P69" s="108" t="str">
        <f t="shared" si="22"/>
        <v/>
      </c>
      <c r="Q69" s="108" t="str">
        <f t="shared" si="22"/>
        <v/>
      </c>
      <c r="R69" s="108" t="str">
        <f t="shared" si="22"/>
        <v/>
      </c>
      <c r="S69" s="108" t="str">
        <f t="shared" si="22"/>
        <v/>
      </c>
      <c r="T69" s="108" t="str">
        <f t="shared" si="22"/>
        <v/>
      </c>
      <c r="U69" s="108" t="str">
        <f t="shared" si="22"/>
        <v/>
      </c>
      <c r="V69" s="108" t="str">
        <f t="shared" si="22"/>
        <v/>
      </c>
      <c r="W69" s="108" t="str">
        <f t="shared" si="22"/>
        <v/>
      </c>
      <c r="X69" s="108" t="str">
        <f t="shared" si="22"/>
        <v/>
      </c>
      <c r="Y69" s="108" t="str">
        <f t="shared" si="21"/>
        <v/>
      </c>
      <c r="Z69" s="108" t="str">
        <f t="shared" si="21"/>
        <v/>
      </c>
      <c r="AA69" s="108" t="str">
        <f t="shared" si="21"/>
        <v/>
      </c>
      <c r="AB69" s="108" t="str">
        <f t="shared" si="21"/>
        <v/>
      </c>
      <c r="AC69" s="108" t="str">
        <f t="shared" si="21"/>
        <v/>
      </c>
      <c r="AD69" s="108" t="str">
        <f t="shared" si="21"/>
        <v/>
      </c>
      <c r="AE69" s="108" t="str">
        <f t="shared" si="21"/>
        <v/>
      </c>
      <c r="AF69" s="108" t="str">
        <f t="shared" si="21"/>
        <v/>
      </c>
      <c r="AG69" s="108" t="str">
        <f t="shared" si="21"/>
        <v/>
      </c>
      <c r="AH69" s="109">
        <f t="shared" si="21"/>
        <v>0</v>
      </c>
      <c r="AI69" s="109"/>
      <c r="AJ69" s="109"/>
      <c r="AK69" s="109"/>
      <c r="AL69" s="109"/>
      <c r="AM69" s="108" t="str">
        <f t="shared" si="21"/>
        <v/>
      </c>
      <c r="AN69" s="108" t="str">
        <f t="shared" si="20"/>
        <v/>
      </c>
      <c r="AO69" s="108" t="str">
        <f t="shared" si="20"/>
        <v/>
      </c>
      <c r="AP69" s="108" t="str">
        <f t="shared" si="20"/>
        <v/>
      </c>
      <c r="AQ69" s="108" t="str">
        <f t="shared" si="20"/>
        <v/>
      </c>
      <c r="AR69" s="108" t="str">
        <f t="shared" si="20"/>
        <v/>
      </c>
      <c r="AS69" s="108" t="str">
        <f t="shared" si="20"/>
        <v/>
      </c>
      <c r="AT69" s="108" t="str">
        <f t="shared" si="20"/>
        <v/>
      </c>
      <c r="AU69" s="111" t="str">
        <f t="shared" si="20"/>
        <v/>
      </c>
      <c r="AV69" s="121"/>
    </row>
    <row r="70" spans="1:48" ht="15" customHeight="1">
      <c r="A70" s="125" t="s">
        <v>118</v>
      </c>
      <c r="B70" s="126"/>
      <c r="C70" s="126"/>
      <c r="D70" s="152"/>
      <c r="E70" s="80"/>
      <c r="F70" s="62" t="str">
        <f>ROUNDUP((E73-C71)/30,0) &amp;"MONTHS"</f>
        <v>8MONTHS</v>
      </c>
      <c r="G70" s="26">
        <f>SUM(AC4-C71)/30</f>
        <v>0.56666666666666665</v>
      </c>
      <c r="H70" s="12">
        <f t="array" ref="H70">SUMPRODUCT(H71:H76/3)</f>
        <v>0.13333333333333333</v>
      </c>
      <c r="I70" s="108" t="str">
        <f t="shared" si="22"/>
        <v/>
      </c>
      <c r="J70" s="108" t="str">
        <f t="shared" si="22"/>
        <v/>
      </c>
      <c r="K70" s="108" t="str">
        <f t="shared" si="22"/>
        <v/>
      </c>
      <c r="L70" s="108" t="str">
        <f t="shared" si="22"/>
        <v/>
      </c>
      <c r="M70" s="108" t="str">
        <f t="shared" si="22"/>
        <v/>
      </c>
      <c r="N70" s="108" t="str">
        <f t="shared" si="22"/>
        <v/>
      </c>
      <c r="O70" s="108" t="str">
        <f t="shared" si="22"/>
        <v/>
      </c>
      <c r="P70" s="108" t="str">
        <f t="shared" si="22"/>
        <v/>
      </c>
      <c r="Q70" s="108" t="str">
        <f t="shared" si="22"/>
        <v/>
      </c>
      <c r="R70" s="108" t="str">
        <f t="shared" si="22"/>
        <v/>
      </c>
      <c r="S70" s="108" t="str">
        <f t="shared" si="22"/>
        <v/>
      </c>
      <c r="T70" s="108" t="str">
        <f t="shared" si="22"/>
        <v/>
      </c>
      <c r="U70" s="108" t="str">
        <f t="shared" si="22"/>
        <v/>
      </c>
      <c r="V70" s="108" t="str">
        <f t="shared" si="22"/>
        <v/>
      </c>
      <c r="W70" s="108" t="str">
        <f t="shared" si="22"/>
        <v/>
      </c>
      <c r="X70" s="108" t="str">
        <f t="shared" si="22"/>
        <v/>
      </c>
      <c r="Y70" s="108" t="str">
        <f t="shared" si="21"/>
        <v/>
      </c>
      <c r="Z70" s="108" t="str">
        <f t="shared" si="21"/>
        <v/>
      </c>
      <c r="AA70" s="108" t="str">
        <f t="shared" si="21"/>
        <v/>
      </c>
      <c r="AB70" s="108" t="str">
        <f t="shared" si="21"/>
        <v/>
      </c>
      <c r="AC70" s="108" t="str">
        <f t="shared" si="21"/>
        <v/>
      </c>
      <c r="AD70" s="108" t="str">
        <f t="shared" si="21"/>
        <v/>
      </c>
      <c r="AE70" s="108" t="str">
        <f t="shared" si="21"/>
        <v/>
      </c>
      <c r="AF70" s="108" t="str">
        <f t="shared" si="21"/>
        <v/>
      </c>
      <c r="AG70" s="108" t="str">
        <f t="shared" si="21"/>
        <v/>
      </c>
      <c r="AH70" s="108" t="str">
        <f t="shared" si="21"/>
        <v/>
      </c>
      <c r="AI70" s="108" t="str">
        <f t="shared" si="21"/>
        <v/>
      </c>
      <c r="AJ70" s="108" t="str">
        <f t="shared" si="21"/>
        <v/>
      </c>
      <c r="AK70" s="108" t="str">
        <f t="shared" si="21"/>
        <v/>
      </c>
      <c r="AL70" s="108" t="str">
        <f t="shared" si="21"/>
        <v/>
      </c>
      <c r="AM70" s="108" t="str">
        <f t="shared" si="21"/>
        <v/>
      </c>
      <c r="AN70" s="108" t="str">
        <f t="shared" si="20"/>
        <v/>
      </c>
      <c r="AO70" s="108" t="str">
        <f t="shared" si="20"/>
        <v/>
      </c>
      <c r="AP70" s="108" t="str">
        <f t="shared" si="20"/>
        <v/>
      </c>
      <c r="AQ70" s="108" t="str">
        <f t="shared" si="20"/>
        <v/>
      </c>
      <c r="AR70" s="108" t="str">
        <f t="shared" si="20"/>
        <v/>
      </c>
      <c r="AS70" s="108" t="str">
        <f t="shared" si="20"/>
        <v/>
      </c>
      <c r="AT70" s="108" t="str">
        <f t="shared" si="20"/>
        <v/>
      </c>
      <c r="AU70" s="111" t="str">
        <f t="shared" si="20"/>
        <v/>
      </c>
      <c r="AV70" s="112"/>
    </row>
    <row r="71" spans="1:48" ht="15" customHeight="1" outlineLevel="1">
      <c r="A71" s="31" t="s">
        <v>71</v>
      </c>
      <c r="B71" s="32" t="s">
        <v>11</v>
      </c>
      <c r="C71" s="36">
        <v>46157</v>
      </c>
      <c r="D71" s="36">
        <v>46264</v>
      </c>
      <c r="E71" s="74">
        <v>46305</v>
      </c>
      <c r="F71" s="35">
        <f t="shared" ref="F71:F76" si="23">SUM(E71-C71)</f>
        <v>148</v>
      </c>
      <c r="G71" s="24" t="s">
        <v>115</v>
      </c>
      <c r="H71" s="22">
        <v>0.4</v>
      </c>
      <c r="I71" s="108" t="str">
        <f t="shared" si="22"/>
        <v/>
      </c>
      <c r="J71" s="108" t="str">
        <f t="shared" si="22"/>
        <v/>
      </c>
      <c r="K71" s="108" t="str">
        <f t="shared" si="22"/>
        <v/>
      </c>
      <c r="L71" s="108" t="str">
        <f t="shared" si="22"/>
        <v/>
      </c>
      <c r="M71" s="108" t="str">
        <f t="shared" si="22"/>
        <v/>
      </c>
      <c r="N71" s="108" t="str">
        <f t="shared" si="22"/>
        <v/>
      </c>
      <c r="O71" s="108" t="str">
        <f t="shared" si="22"/>
        <v/>
      </c>
      <c r="P71" s="108" t="str">
        <f t="shared" si="22"/>
        <v/>
      </c>
      <c r="Q71" s="108" t="str">
        <f t="shared" si="22"/>
        <v/>
      </c>
      <c r="R71" s="108" t="str">
        <f t="shared" si="22"/>
        <v/>
      </c>
      <c r="S71" s="108" t="str">
        <f t="shared" si="22"/>
        <v/>
      </c>
      <c r="T71" s="108" t="str">
        <f t="shared" si="22"/>
        <v/>
      </c>
      <c r="U71" s="108" t="str">
        <f t="shared" si="22"/>
        <v/>
      </c>
      <c r="V71" s="108" t="str">
        <f t="shared" si="22"/>
        <v/>
      </c>
      <c r="W71" s="108" t="str">
        <f t="shared" si="22"/>
        <v/>
      </c>
      <c r="X71" s="108" t="str">
        <f t="shared" si="22"/>
        <v/>
      </c>
      <c r="Y71" s="108" t="str">
        <f t="shared" si="21"/>
        <v/>
      </c>
      <c r="Z71" s="108" t="str">
        <f t="shared" si="21"/>
        <v/>
      </c>
      <c r="AA71" s="108" t="str">
        <f t="shared" si="21"/>
        <v/>
      </c>
      <c r="AB71" s="122">
        <f>IF(AND(AB$4&lt;=$C71,AB$4&lt;=$E71),$H71,"")</f>
        <v>0.4</v>
      </c>
      <c r="AC71" s="123"/>
      <c r="AD71" s="123"/>
      <c r="AE71" s="123"/>
      <c r="AF71" s="123"/>
      <c r="AG71" s="124"/>
      <c r="AH71" s="108" t="str">
        <f t="shared" si="21"/>
        <v/>
      </c>
      <c r="AI71" s="108" t="str">
        <f t="shared" si="21"/>
        <v/>
      </c>
      <c r="AJ71" s="108" t="str">
        <f t="shared" si="21"/>
        <v/>
      </c>
      <c r="AK71" s="108" t="str">
        <f t="shared" si="21"/>
        <v/>
      </c>
      <c r="AL71" s="108" t="str">
        <f t="shared" si="21"/>
        <v/>
      </c>
      <c r="AM71" s="108" t="str">
        <f t="shared" si="21"/>
        <v/>
      </c>
      <c r="AN71" s="108" t="str">
        <f t="shared" si="20"/>
        <v/>
      </c>
      <c r="AO71" s="108" t="str">
        <f t="shared" si="20"/>
        <v/>
      </c>
      <c r="AP71" s="108" t="str">
        <f t="shared" si="20"/>
        <v/>
      </c>
      <c r="AQ71" s="108" t="str">
        <f t="shared" si="20"/>
        <v/>
      </c>
      <c r="AR71" s="108" t="str">
        <f t="shared" si="20"/>
        <v/>
      </c>
      <c r="AS71" s="108" t="str">
        <f t="shared" si="20"/>
        <v/>
      </c>
      <c r="AT71" s="108" t="str">
        <f t="shared" si="20"/>
        <v/>
      </c>
      <c r="AU71" s="111" t="str">
        <f t="shared" si="20"/>
        <v/>
      </c>
      <c r="AV71" s="112"/>
    </row>
    <row r="72" spans="1:48" ht="15" customHeight="1" outlineLevel="1">
      <c r="A72" s="31" t="s">
        <v>72</v>
      </c>
      <c r="B72" s="32" t="s">
        <v>122</v>
      </c>
      <c r="C72" s="36">
        <v>46233</v>
      </c>
      <c r="D72" s="36">
        <v>46387</v>
      </c>
      <c r="E72" s="36">
        <v>46244</v>
      </c>
      <c r="F72" s="35">
        <f t="shared" si="23"/>
        <v>11</v>
      </c>
      <c r="G72" s="27"/>
      <c r="H72" s="23">
        <v>0</v>
      </c>
      <c r="I72" s="108" t="str">
        <f t="shared" si="22"/>
        <v/>
      </c>
      <c r="J72" s="108" t="str">
        <f t="shared" si="22"/>
        <v/>
      </c>
      <c r="K72" s="108" t="str">
        <f t="shared" si="22"/>
        <v/>
      </c>
      <c r="L72" s="108" t="str">
        <f t="shared" si="22"/>
        <v/>
      </c>
      <c r="M72" s="108" t="str">
        <f t="shared" si="22"/>
        <v/>
      </c>
      <c r="N72" s="108" t="str">
        <f t="shared" si="22"/>
        <v/>
      </c>
      <c r="O72" s="108" t="str">
        <f t="shared" si="22"/>
        <v/>
      </c>
      <c r="P72" s="108" t="str">
        <f t="shared" si="22"/>
        <v/>
      </c>
      <c r="Q72" s="108" t="str">
        <f t="shared" si="22"/>
        <v/>
      </c>
      <c r="R72" s="108" t="str">
        <f t="shared" si="22"/>
        <v/>
      </c>
      <c r="S72" s="108" t="str">
        <f t="shared" si="22"/>
        <v/>
      </c>
      <c r="T72" s="108" t="str">
        <f t="shared" si="22"/>
        <v/>
      </c>
      <c r="U72" s="108" t="str">
        <f t="shared" si="22"/>
        <v/>
      </c>
      <c r="V72" s="108" t="str">
        <f t="shared" si="22"/>
        <v/>
      </c>
      <c r="W72" s="108" t="str">
        <f t="shared" si="22"/>
        <v/>
      </c>
      <c r="X72" s="108" t="str">
        <f t="shared" si="22"/>
        <v/>
      </c>
      <c r="Y72" s="108" t="str">
        <f t="shared" si="21"/>
        <v/>
      </c>
      <c r="Z72" s="108" t="str">
        <f t="shared" si="21"/>
        <v/>
      </c>
      <c r="AA72" s="108" t="str">
        <f t="shared" si="21"/>
        <v/>
      </c>
      <c r="AB72" s="108" t="str">
        <f t="shared" si="21"/>
        <v/>
      </c>
      <c r="AC72" s="108" t="str">
        <f t="shared" si="21"/>
        <v/>
      </c>
      <c r="AD72" s="108" t="str">
        <f t="shared" si="21"/>
        <v/>
      </c>
      <c r="AE72" s="108">
        <f t="shared" si="21"/>
        <v>0</v>
      </c>
      <c r="AF72" s="108" t="str">
        <f t="shared" si="21"/>
        <v/>
      </c>
      <c r="AG72" s="108" t="str">
        <f t="shared" si="21"/>
        <v/>
      </c>
      <c r="AH72" s="108" t="str">
        <f t="shared" si="21"/>
        <v/>
      </c>
      <c r="AI72" s="108" t="str">
        <f t="shared" si="21"/>
        <v/>
      </c>
      <c r="AJ72" s="108" t="str">
        <f t="shared" si="21"/>
        <v/>
      </c>
      <c r="AK72" s="108" t="str">
        <f t="shared" si="21"/>
        <v/>
      </c>
      <c r="AL72" s="108" t="str">
        <f t="shared" si="21"/>
        <v/>
      </c>
      <c r="AM72" s="108" t="str">
        <f t="shared" si="21"/>
        <v/>
      </c>
      <c r="AN72" s="108" t="str">
        <f t="shared" si="20"/>
        <v/>
      </c>
      <c r="AO72" s="108" t="str">
        <f t="shared" si="20"/>
        <v/>
      </c>
      <c r="AP72" s="108" t="str">
        <f t="shared" si="20"/>
        <v/>
      </c>
      <c r="AQ72" s="108" t="str">
        <f t="shared" si="20"/>
        <v/>
      </c>
      <c r="AR72" s="108" t="str">
        <f t="shared" si="20"/>
        <v/>
      </c>
      <c r="AS72" s="108" t="str">
        <f t="shared" si="20"/>
        <v/>
      </c>
      <c r="AT72" s="108" t="str">
        <f t="shared" si="20"/>
        <v/>
      </c>
      <c r="AU72" s="111" t="str">
        <f t="shared" si="20"/>
        <v/>
      </c>
      <c r="AV72" s="112"/>
    </row>
    <row r="73" spans="1:48" ht="15" customHeight="1" outlineLevel="1">
      <c r="A73" s="31" t="s">
        <v>73</v>
      </c>
      <c r="B73" s="32" t="s">
        <v>18</v>
      </c>
      <c r="C73" s="36">
        <v>46223</v>
      </c>
      <c r="D73" s="36">
        <v>46387</v>
      </c>
      <c r="E73" s="36">
        <v>46386</v>
      </c>
      <c r="F73" s="35">
        <f t="shared" si="23"/>
        <v>163</v>
      </c>
      <c r="G73" s="27"/>
      <c r="H73" s="23">
        <v>0</v>
      </c>
      <c r="I73" s="108" t="str">
        <f t="shared" si="22"/>
        <v/>
      </c>
      <c r="J73" s="108" t="str">
        <f t="shared" si="22"/>
        <v/>
      </c>
      <c r="K73" s="108" t="str">
        <f t="shared" si="22"/>
        <v/>
      </c>
      <c r="L73" s="108" t="str">
        <f t="shared" si="22"/>
        <v/>
      </c>
      <c r="M73" s="108" t="str">
        <f t="shared" si="22"/>
        <v/>
      </c>
      <c r="N73" s="108" t="str">
        <f t="shared" si="22"/>
        <v/>
      </c>
      <c r="O73" s="108" t="str">
        <f t="shared" si="22"/>
        <v/>
      </c>
      <c r="P73" s="108" t="str">
        <f t="shared" si="22"/>
        <v/>
      </c>
      <c r="Q73" s="108" t="str">
        <f t="shared" si="22"/>
        <v/>
      </c>
      <c r="R73" s="108" t="str">
        <f t="shared" si="22"/>
        <v/>
      </c>
      <c r="S73" s="108" t="str">
        <f t="shared" si="22"/>
        <v/>
      </c>
      <c r="T73" s="108" t="str">
        <f t="shared" si="22"/>
        <v/>
      </c>
      <c r="U73" s="108" t="str">
        <f t="shared" si="22"/>
        <v/>
      </c>
      <c r="V73" s="108" t="str">
        <f t="shared" si="22"/>
        <v/>
      </c>
      <c r="W73" s="108" t="str">
        <f t="shared" si="22"/>
        <v/>
      </c>
      <c r="X73" s="108" t="str">
        <f t="shared" si="22"/>
        <v/>
      </c>
      <c r="Y73" s="108" t="str">
        <f t="shared" si="21"/>
        <v/>
      </c>
      <c r="Z73" s="108" t="str">
        <f t="shared" si="21"/>
        <v/>
      </c>
      <c r="AA73" s="108" t="str">
        <f t="shared" si="21"/>
        <v/>
      </c>
      <c r="AB73" s="108" t="str">
        <f t="shared" si="21"/>
        <v/>
      </c>
      <c r="AC73" s="108" t="str">
        <f t="shared" si="21"/>
        <v/>
      </c>
      <c r="AD73" s="108" t="str">
        <f t="shared" si="21"/>
        <v/>
      </c>
      <c r="AE73" s="122">
        <f t="shared" si="21"/>
        <v>0</v>
      </c>
      <c r="AF73" s="123"/>
      <c r="AG73" s="123"/>
      <c r="AH73" s="123"/>
      <c r="AI73" s="124"/>
      <c r="AJ73" s="108" t="str">
        <f t="shared" si="21"/>
        <v/>
      </c>
      <c r="AK73" s="108" t="str">
        <f t="shared" si="21"/>
        <v/>
      </c>
      <c r="AL73" s="108" t="str">
        <f t="shared" si="21"/>
        <v/>
      </c>
      <c r="AM73" s="108" t="str">
        <f t="shared" si="21"/>
        <v/>
      </c>
      <c r="AN73" s="108" t="str">
        <f t="shared" si="20"/>
        <v/>
      </c>
      <c r="AO73" s="108" t="str">
        <f t="shared" si="20"/>
        <v/>
      </c>
      <c r="AP73" s="108" t="str">
        <f t="shared" si="20"/>
        <v/>
      </c>
      <c r="AQ73" s="108" t="str">
        <f t="shared" si="20"/>
        <v/>
      </c>
      <c r="AR73" s="108" t="str">
        <f t="shared" si="20"/>
        <v/>
      </c>
      <c r="AS73" s="108" t="str">
        <f t="shared" si="20"/>
        <v/>
      </c>
      <c r="AT73" s="108" t="str">
        <f t="shared" si="20"/>
        <v/>
      </c>
      <c r="AU73" s="111" t="str">
        <f t="shared" si="20"/>
        <v/>
      </c>
      <c r="AV73" s="112"/>
    </row>
    <row r="74" spans="1:48" ht="15" customHeight="1" outlineLevel="1">
      <c r="A74" s="31"/>
      <c r="B74" s="32" t="s">
        <v>123</v>
      </c>
      <c r="C74" s="36">
        <v>46315</v>
      </c>
      <c r="D74" s="36"/>
      <c r="E74" s="36">
        <v>46325</v>
      </c>
      <c r="F74" s="35">
        <f t="shared" si="23"/>
        <v>10</v>
      </c>
      <c r="G74" s="27"/>
      <c r="H74" s="23">
        <v>0</v>
      </c>
      <c r="I74" s="108" t="str">
        <f t="shared" si="22"/>
        <v/>
      </c>
      <c r="J74" s="108" t="str">
        <f t="shared" si="22"/>
        <v/>
      </c>
      <c r="K74" s="108" t="str">
        <f t="shared" si="22"/>
        <v/>
      </c>
      <c r="L74" s="108" t="str">
        <f t="shared" si="22"/>
        <v/>
      </c>
      <c r="M74" s="108" t="str">
        <f t="shared" si="22"/>
        <v/>
      </c>
      <c r="N74" s="108" t="str">
        <f t="shared" si="22"/>
        <v/>
      </c>
      <c r="O74" s="108" t="str">
        <f t="shared" si="22"/>
        <v/>
      </c>
      <c r="P74" s="108" t="str">
        <f t="shared" si="22"/>
        <v/>
      </c>
      <c r="Q74" s="108" t="str">
        <f t="shared" si="22"/>
        <v/>
      </c>
      <c r="R74" s="108" t="str">
        <f t="shared" si="22"/>
        <v/>
      </c>
      <c r="S74" s="108" t="str">
        <f t="shared" si="22"/>
        <v/>
      </c>
      <c r="T74" s="108" t="str">
        <f t="shared" si="22"/>
        <v/>
      </c>
      <c r="U74" s="108" t="str">
        <f t="shared" si="22"/>
        <v/>
      </c>
      <c r="V74" s="108" t="str">
        <f t="shared" si="22"/>
        <v/>
      </c>
      <c r="W74" s="108" t="str">
        <f t="shared" si="22"/>
        <v/>
      </c>
      <c r="X74" s="108" t="str">
        <f t="shared" si="22"/>
        <v/>
      </c>
      <c r="Y74" s="108" t="str">
        <f t="shared" si="21"/>
        <v/>
      </c>
      <c r="Z74" s="108" t="str">
        <f t="shared" si="21"/>
        <v/>
      </c>
      <c r="AA74" s="108" t="str">
        <f t="shared" si="21"/>
        <v/>
      </c>
      <c r="AB74" s="108" t="str">
        <f t="shared" si="21"/>
        <v/>
      </c>
      <c r="AC74" s="108" t="str">
        <f t="shared" si="21"/>
        <v/>
      </c>
      <c r="AD74" s="108" t="str">
        <f t="shared" si="21"/>
        <v/>
      </c>
      <c r="AE74" s="108" t="str">
        <f t="shared" si="21"/>
        <v/>
      </c>
      <c r="AF74" s="108" t="str">
        <f t="shared" si="21"/>
        <v/>
      </c>
      <c r="AG74" s="108">
        <f>IF(AND(AG$4&lt;=$C74,AG$4&lt;=$E74),$H74,"")</f>
        <v>0</v>
      </c>
      <c r="AH74" s="108" t="str">
        <f t="shared" si="21"/>
        <v/>
      </c>
      <c r="AI74" s="108" t="str">
        <f t="shared" si="21"/>
        <v/>
      </c>
      <c r="AJ74" s="108" t="str">
        <f t="shared" si="21"/>
        <v/>
      </c>
      <c r="AK74" s="108" t="str">
        <f t="shared" si="21"/>
        <v/>
      </c>
      <c r="AL74" s="108" t="str">
        <f t="shared" si="21"/>
        <v/>
      </c>
      <c r="AM74" s="108" t="str">
        <f t="shared" si="21"/>
        <v/>
      </c>
      <c r="AN74" s="108" t="str">
        <f t="shared" si="20"/>
        <v/>
      </c>
      <c r="AO74" s="108" t="str">
        <f t="shared" si="20"/>
        <v/>
      </c>
      <c r="AP74" s="108" t="str">
        <f t="shared" si="20"/>
        <v/>
      </c>
      <c r="AQ74" s="108" t="str">
        <f t="shared" si="20"/>
        <v/>
      </c>
      <c r="AR74" s="108" t="str">
        <f t="shared" si="20"/>
        <v/>
      </c>
      <c r="AS74" s="108" t="str">
        <f t="shared" si="20"/>
        <v/>
      </c>
      <c r="AT74" s="108" t="str">
        <f t="shared" si="20"/>
        <v/>
      </c>
      <c r="AU74" s="111" t="str">
        <f t="shared" si="20"/>
        <v/>
      </c>
      <c r="AV74" s="112"/>
    </row>
    <row r="75" spans="1:48" ht="15" customHeight="1" outlineLevel="1">
      <c r="A75" s="31" t="s">
        <v>74</v>
      </c>
      <c r="B75" s="32" t="s">
        <v>111</v>
      </c>
      <c r="C75" s="36">
        <v>46356</v>
      </c>
      <c r="D75" s="36">
        <v>46371</v>
      </c>
      <c r="E75" s="36">
        <v>46386</v>
      </c>
      <c r="F75" s="35">
        <f t="shared" si="23"/>
        <v>30</v>
      </c>
      <c r="G75" s="27"/>
      <c r="H75" s="23">
        <v>0</v>
      </c>
      <c r="I75" s="108" t="str">
        <f t="shared" si="22"/>
        <v/>
      </c>
      <c r="J75" s="108" t="str">
        <f t="shared" si="22"/>
        <v/>
      </c>
      <c r="K75" s="108" t="str">
        <f t="shared" si="22"/>
        <v/>
      </c>
      <c r="L75" s="108" t="str">
        <f t="shared" si="22"/>
        <v/>
      </c>
      <c r="M75" s="108" t="str">
        <f t="shared" si="22"/>
        <v/>
      </c>
      <c r="N75" s="108" t="str">
        <f t="shared" si="22"/>
        <v/>
      </c>
      <c r="O75" s="108" t="str">
        <f t="shared" si="22"/>
        <v/>
      </c>
      <c r="P75" s="108" t="str">
        <f t="shared" si="22"/>
        <v/>
      </c>
      <c r="Q75" s="108" t="str">
        <f t="shared" si="22"/>
        <v/>
      </c>
      <c r="R75" s="108" t="str">
        <f t="shared" si="22"/>
        <v/>
      </c>
      <c r="S75" s="108" t="str">
        <f t="shared" si="22"/>
        <v/>
      </c>
      <c r="T75" s="108" t="str">
        <f t="shared" si="22"/>
        <v/>
      </c>
      <c r="U75" s="108" t="str">
        <f t="shared" si="22"/>
        <v/>
      </c>
      <c r="V75" s="108" t="str">
        <f t="shared" si="22"/>
        <v/>
      </c>
      <c r="W75" s="108" t="str">
        <f t="shared" si="22"/>
        <v/>
      </c>
      <c r="X75" s="108" t="str">
        <f t="shared" si="22"/>
        <v/>
      </c>
      <c r="Y75" s="108" t="str">
        <f t="shared" si="21"/>
        <v/>
      </c>
      <c r="Z75" s="108" t="str">
        <f t="shared" si="21"/>
        <v/>
      </c>
      <c r="AA75" s="108" t="str">
        <f t="shared" si="21"/>
        <v/>
      </c>
      <c r="AB75" s="108" t="str">
        <f t="shared" si="21"/>
        <v/>
      </c>
      <c r="AC75" s="108" t="str">
        <f t="shared" si="21"/>
        <v/>
      </c>
      <c r="AD75" s="108" t="str">
        <f t="shared" si="21"/>
        <v/>
      </c>
      <c r="AE75" s="108" t="str">
        <f t="shared" si="21"/>
        <v/>
      </c>
      <c r="AF75" s="108" t="str">
        <f t="shared" si="21"/>
        <v/>
      </c>
      <c r="AG75" s="108" t="str">
        <f t="shared" si="21"/>
        <v/>
      </c>
      <c r="AH75" s="108" t="str">
        <f t="shared" si="21"/>
        <v/>
      </c>
      <c r="AI75" s="108">
        <f t="shared" si="21"/>
        <v>0</v>
      </c>
      <c r="AJ75" s="108" t="str">
        <f t="shared" si="21"/>
        <v/>
      </c>
      <c r="AK75" s="108" t="str">
        <f t="shared" si="21"/>
        <v/>
      </c>
      <c r="AL75" s="108" t="str">
        <f t="shared" si="21"/>
        <v/>
      </c>
      <c r="AM75" s="108" t="str">
        <f t="shared" si="21"/>
        <v/>
      </c>
      <c r="AN75" s="108" t="str">
        <f t="shared" si="20"/>
        <v/>
      </c>
      <c r="AO75" s="108" t="str">
        <f t="shared" si="20"/>
        <v/>
      </c>
      <c r="AP75" s="108" t="str">
        <f t="shared" si="20"/>
        <v/>
      </c>
      <c r="AQ75" s="108" t="str">
        <f t="shared" si="20"/>
        <v/>
      </c>
      <c r="AR75" s="108" t="str">
        <f t="shared" si="20"/>
        <v/>
      </c>
      <c r="AS75" s="108" t="str">
        <f t="shared" si="20"/>
        <v/>
      </c>
      <c r="AT75" s="108" t="str">
        <f t="shared" si="20"/>
        <v/>
      </c>
      <c r="AU75" s="111" t="str">
        <f t="shared" si="20"/>
        <v/>
      </c>
      <c r="AV75" s="112"/>
    </row>
    <row r="76" spans="1:48" ht="15" customHeight="1" outlineLevel="1">
      <c r="A76" s="31" t="s">
        <v>75</v>
      </c>
      <c r="B76" s="32" t="s">
        <v>22</v>
      </c>
      <c r="C76" s="36">
        <v>46305</v>
      </c>
      <c r="D76" s="36">
        <v>46387</v>
      </c>
      <c r="E76" s="36">
        <v>46366</v>
      </c>
      <c r="F76" s="35">
        <f t="shared" si="23"/>
        <v>61</v>
      </c>
      <c r="G76" s="28"/>
      <c r="H76" s="23">
        <v>0</v>
      </c>
      <c r="I76" s="108" t="str">
        <f t="shared" si="22"/>
        <v/>
      </c>
      <c r="J76" s="108" t="str">
        <f t="shared" si="22"/>
        <v/>
      </c>
      <c r="K76" s="108" t="str">
        <f t="shared" si="22"/>
        <v/>
      </c>
      <c r="L76" s="108" t="str">
        <f t="shared" si="22"/>
        <v/>
      </c>
      <c r="M76" s="108" t="str">
        <f t="shared" si="22"/>
        <v/>
      </c>
      <c r="N76" s="108" t="str">
        <f t="shared" si="22"/>
        <v/>
      </c>
      <c r="O76" s="108" t="str">
        <f t="shared" si="22"/>
        <v/>
      </c>
      <c r="P76" s="108" t="str">
        <f t="shared" si="22"/>
        <v/>
      </c>
      <c r="Q76" s="108" t="str">
        <f t="shared" si="22"/>
        <v/>
      </c>
      <c r="R76" s="108" t="str">
        <f t="shared" si="22"/>
        <v/>
      </c>
      <c r="S76" s="108" t="str">
        <f t="shared" si="22"/>
        <v/>
      </c>
      <c r="T76" s="108" t="str">
        <f t="shared" si="22"/>
        <v/>
      </c>
      <c r="U76" s="108" t="str">
        <f t="shared" si="22"/>
        <v/>
      </c>
      <c r="V76" s="108" t="str">
        <f t="shared" si="22"/>
        <v/>
      </c>
      <c r="W76" s="108" t="str">
        <f t="shared" si="22"/>
        <v/>
      </c>
      <c r="X76" s="108" t="str">
        <f t="shared" si="22"/>
        <v/>
      </c>
      <c r="Y76" s="108" t="str">
        <f t="shared" si="21"/>
        <v/>
      </c>
      <c r="Z76" s="108" t="str">
        <f t="shared" si="21"/>
        <v/>
      </c>
      <c r="AA76" s="108" t="str">
        <f t="shared" si="21"/>
        <v/>
      </c>
      <c r="AB76" s="108" t="str">
        <f t="shared" si="21"/>
        <v/>
      </c>
      <c r="AC76" s="108" t="str">
        <f t="shared" si="21"/>
        <v/>
      </c>
      <c r="AD76" s="108" t="str">
        <f t="shared" si="21"/>
        <v/>
      </c>
      <c r="AE76" s="108" t="str">
        <f t="shared" si="21"/>
        <v/>
      </c>
      <c r="AF76" s="108" t="str">
        <f t="shared" si="21"/>
        <v/>
      </c>
      <c r="AG76" s="108" t="str">
        <f t="shared" si="21"/>
        <v/>
      </c>
      <c r="AH76" s="122">
        <f t="shared" si="21"/>
        <v>0</v>
      </c>
      <c r="AI76" s="124"/>
      <c r="AJ76" s="108" t="str">
        <f t="shared" si="21"/>
        <v/>
      </c>
      <c r="AK76" s="108" t="str">
        <f t="shared" si="21"/>
        <v/>
      </c>
      <c r="AL76" s="108" t="str">
        <f t="shared" si="21"/>
        <v/>
      </c>
      <c r="AM76" s="108" t="str">
        <f t="shared" si="21"/>
        <v/>
      </c>
      <c r="AN76" s="108" t="str">
        <f t="shared" si="20"/>
        <v/>
      </c>
      <c r="AO76" s="108" t="str">
        <f t="shared" si="20"/>
        <v/>
      </c>
      <c r="AP76" s="108" t="str">
        <f t="shared" si="20"/>
        <v/>
      </c>
      <c r="AQ76" s="108" t="str">
        <f t="shared" si="20"/>
        <v/>
      </c>
      <c r="AR76" s="108" t="str">
        <f t="shared" si="20"/>
        <v/>
      </c>
      <c r="AS76" s="108" t="str">
        <f t="shared" si="20"/>
        <v/>
      </c>
      <c r="AT76" s="108" t="str">
        <f t="shared" si="20"/>
        <v/>
      </c>
      <c r="AU76" s="111" t="str">
        <f t="shared" si="20"/>
        <v/>
      </c>
      <c r="AV76" s="112"/>
    </row>
    <row r="77" spans="1:48" ht="15" customHeight="1">
      <c r="A77" s="151" t="s">
        <v>119</v>
      </c>
      <c r="B77" s="127"/>
      <c r="C77" s="127"/>
      <c r="D77" s="128"/>
      <c r="E77" s="80"/>
      <c r="F77" s="62" t="str">
        <f>ROUNDUP((E80-C78)/30,0) &amp;"MONTHS"</f>
        <v>27MONTHS</v>
      </c>
      <c r="G77" s="26">
        <f>SUM(AC4-C78)/30</f>
        <v>20.133333333333333</v>
      </c>
      <c r="H77" s="12">
        <f t="array" ref="H77">SUMPRODUCT(H78:H82/3)</f>
        <v>0.3</v>
      </c>
      <c r="I77" s="108" t="str">
        <f t="shared" si="22"/>
        <v/>
      </c>
      <c r="J77" s="108" t="str">
        <f t="shared" si="22"/>
        <v/>
      </c>
      <c r="K77" s="108" t="str">
        <f t="shared" si="22"/>
        <v/>
      </c>
      <c r="L77" s="108" t="str">
        <f t="shared" si="22"/>
        <v/>
      </c>
      <c r="M77" s="108" t="str">
        <f t="shared" si="22"/>
        <v/>
      </c>
      <c r="N77" s="108" t="str">
        <f t="shared" si="22"/>
        <v/>
      </c>
      <c r="O77" s="108" t="str">
        <f t="shared" si="22"/>
        <v/>
      </c>
      <c r="P77" s="108" t="str">
        <f t="shared" si="22"/>
        <v/>
      </c>
      <c r="Q77" s="108" t="str">
        <f t="shared" si="22"/>
        <v/>
      </c>
      <c r="R77" s="108" t="str">
        <f t="shared" si="22"/>
        <v/>
      </c>
      <c r="S77" s="108" t="str">
        <f t="shared" si="22"/>
        <v/>
      </c>
      <c r="T77" s="108" t="str">
        <f t="shared" si="22"/>
        <v/>
      </c>
      <c r="U77" s="108" t="str">
        <f t="shared" si="22"/>
        <v/>
      </c>
      <c r="V77" s="108" t="str">
        <f t="shared" si="22"/>
        <v/>
      </c>
      <c r="W77" s="108" t="str">
        <f t="shared" si="22"/>
        <v/>
      </c>
      <c r="X77" s="108" t="str">
        <f t="shared" si="22"/>
        <v/>
      </c>
      <c r="Y77" s="108" t="str">
        <f t="shared" si="21"/>
        <v/>
      </c>
      <c r="Z77" s="108" t="str">
        <f t="shared" si="21"/>
        <v/>
      </c>
      <c r="AA77" s="108" t="str">
        <f t="shared" si="21"/>
        <v/>
      </c>
      <c r="AB77" s="108" t="str">
        <f t="shared" si="21"/>
        <v/>
      </c>
      <c r="AC77" s="108" t="str">
        <f t="shared" si="21"/>
        <v/>
      </c>
      <c r="AD77" s="108" t="str">
        <f t="shared" si="21"/>
        <v/>
      </c>
      <c r="AE77" s="108" t="str">
        <f t="shared" si="21"/>
        <v/>
      </c>
      <c r="AF77" s="108" t="str">
        <f t="shared" si="21"/>
        <v/>
      </c>
      <c r="AG77" s="108"/>
      <c r="AH77" s="108"/>
      <c r="AI77" s="108"/>
      <c r="AJ77" s="108" t="str">
        <f t="shared" si="21"/>
        <v/>
      </c>
      <c r="AK77" s="108" t="str">
        <f t="shared" si="21"/>
        <v/>
      </c>
      <c r="AL77" s="108" t="str">
        <f t="shared" si="21"/>
        <v/>
      </c>
      <c r="AM77" s="108" t="str">
        <f t="shared" si="21"/>
        <v/>
      </c>
      <c r="AN77" s="108" t="str">
        <f t="shared" si="20"/>
        <v/>
      </c>
      <c r="AO77" s="108" t="str">
        <f t="shared" si="20"/>
        <v/>
      </c>
      <c r="AP77" s="108" t="str">
        <f t="shared" si="20"/>
        <v/>
      </c>
      <c r="AQ77" s="108" t="str">
        <f t="shared" si="20"/>
        <v/>
      </c>
      <c r="AR77" s="108" t="str">
        <f t="shared" si="20"/>
        <v/>
      </c>
      <c r="AS77" s="108" t="str">
        <f t="shared" si="20"/>
        <v/>
      </c>
      <c r="AT77" s="108" t="str">
        <f t="shared" si="20"/>
        <v/>
      </c>
      <c r="AU77" s="111" t="str">
        <f t="shared" si="20"/>
        <v/>
      </c>
      <c r="AV77" s="112"/>
    </row>
    <row r="78" spans="1:48" ht="15" customHeight="1" outlineLevel="1">
      <c r="A78" s="31" t="s">
        <v>76</v>
      </c>
      <c r="B78" s="32" t="s">
        <v>11</v>
      </c>
      <c r="C78" s="37">
        <v>45570</v>
      </c>
      <c r="D78" s="37">
        <v>46280</v>
      </c>
      <c r="E78" s="37">
        <v>46280</v>
      </c>
      <c r="F78" s="35">
        <f t="shared" ref="F78:F83" si="24">SUM(E78-C78)</f>
        <v>710</v>
      </c>
      <c r="G78" s="24" t="s">
        <v>115</v>
      </c>
      <c r="H78" s="22">
        <v>0.7</v>
      </c>
      <c r="I78" s="116">
        <f>IF(AND(I$4&lt;=$C78,I$4&lt;=$E78),$H78,"")</f>
        <v>0.7</v>
      </c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08" t="str">
        <f t="shared" si="21"/>
        <v/>
      </c>
      <c r="AH78" s="108" t="str">
        <f t="shared" si="21"/>
        <v/>
      </c>
      <c r="AI78" s="108" t="str">
        <f t="shared" si="21"/>
        <v/>
      </c>
      <c r="AJ78" s="108" t="str">
        <f t="shared" si="21"/>
        <v/>
      </c>
      <c r="AK78" s="108" t="str">
        <f t="shared" si="21"/>
        <v/>
      </c>
      <c r="AL78" s="108" t="str">
        <f t="shared" si="21"/>
        <v/>
      </c>
      <c r="AM78" s="108" t="str">
        <f t="shared" si="21"/>
        <v/>
      </c>
      <c r="AN78" s="108" t="str">
        <f t="shared" si="20"/>
        <v/>
      </c>
      <c r="AO78" s="108" t="str">
        <f t="shared" si="20"/>
        <v/>
      </c>
      <c r="AP78" s="108" t="str">
        <f t="shared" si="20"/>
        <v/>
      </c>
      <c r="AQ78" s="108" t="str">
        <f t="shared" si="20"/>
        <v/>
      </c>
      <c r="AR78" s="108" t="str">
        <f t="shared" si="20"/>
        <v/>
      </c>
      <c r="AS78" s="108" t="str">
        <f t="shared" si="20"/>
        <v/>
      </c>
      <c r="AT78" s="108" t="str">
        <f t="shared" si="20"/>
        <v/>
      </c>
      <c r="AU78" s="111" t="str">
        <f t="shared" si="20"/>
        <v/>
      </c>
      <c r="AV78" s="112"/>
    </row>
    <row r="79" spans="1:48" ht="15" customHeight="1" outlineLevel="1">
      <c r="A79" s="31" t="s">
        <v>77</v>
      </c>
      <c r="B79" s="32" t="s">
        <v>15</v>
      </c>
      <c r="C79" s="36">
        <v>46189</v>
      </c>
      <c r="D79" s="36">
        <v>46387</v>
      </c>
      <c r="E79" s="36">
        <v>46356</v>
      </c>
      <c r="F79" s="35">
        <f t="shared" si="24"/>
        <v>167</v>
      </c>
      <c r="G79" s="27"/>
      <c r="H79" s="22">
        <v>0.2</v>
      </c>
      <c r="I79" s="108" t="str">
        <f t="shared" si="22"/>
        <v/>
      </c>
      <c r="J79" s="108" t="str">
        <f t="shared" si="22"/>
        <v/>
      </c>
      <c r="K79" s="108" t="str">
        <f t="shared" si="22"/>
        <v/>
      </c>
      <c r="L79" s="108" t="str">
        <f t="shared" si="22"/>
        <v/>
      </c>
      <c r="M79" s="108" t="str">
        <f t="shared" si="22"/>
        <v/>
      </c>
      <c r="N79" s="108" t="str">
        <f t="shared" si="22"/>
        <v/>
      </c>
      <c r="O79" s="108" t="str">
        <f t="shared" si="22"/>
        <v/>
      </c>
      <c r="P79" s="108" t="str">
        <f t="shared" si="22"/>
        <v/>
      </c>
      <c r="Q79" s="108" t="str">
        <f t="shared" si="22"/>
        <v/>
      </c>
      <c r="R79" s="108" t="str">
        <f t="shared" si="22"/>
        <v/>
      </c>
      <c r="S79" s="108" t="str">
        <f t="shared" si="22"/>
        <v/>
      </c>
      <c r="T79" s="108" t="str">
        <f t="shared" si="22"/>
        <v/>
      </c>
      <c r="U79" s="108" t="str">
        <f t="shared" si="22"/>
        <v/>
      </c>
      <c r="V79" s="108" t="str">
        <f t="shared" si="22"/>
        <v/>
      </c>
      <c r="W79" s="108" t="str">
        <f t="shared" si="22"/>
        <v/>
      </c>
      <c r="X79" s="108" t="str">
        <f t="shared" si="22"/>
        <v/>
      </c>
      <c r="Y79" s="108" t="str">
        <f t="shared" si="21"/>
        <v/>
      </c>
      <c r="Z79" s="108" t="str">
        <f t="shared" si="21"/>
        <v/>
      </c>
      <c r="AA79" s="108" t="str">
        <f t="shared" si="21"/>
        <v/>
      </c>
      <c r="AB79" s="108" t="str">
        <f t="shared" si="21"/>
        <v/>
      </c>
      <c r="AC79" s="116">
        <f>IF(AND(AC$4&lt;=$C79,AC$4&lt;=$E79),$H79,"")</f>
        <v>0.2</v>
      </c>
      <c r="AD79" s="116"/>
      <c r="AE79" s="116"/>
      <c r="AF79" s="116"/>
      <c r="AG79" s="116"/>
      <c r="AH79" s="116"/>
      <c r="AI79" s="108" t="str">
        <f t="shared" si="21"/>
        <v/>
      </c>
      <c r="AJ79" s="108" t="str">
        <f t="shared" si="21"/>
        <v/>
      </c>
      <c r="AK79" s="108" t="str">
        <f t="shared" si="21"/>
        <v/>
      </c>
      <c r="AL79" s="108" t="str">
        <f t="shared" si="21"/>
        <v/>
      </c>
      <c r="AM79" s="108" t="str">
        <f t="shared" si="21"/>
        <v/>
      </c>
      <c r="AN79" s="108" t="str">
        <f t="shared" si="20"/>
        <v/>
      </c>
      <c r="AO79" s="108" t="str">
        <f t="shared" si="20"/>
        <v/>
      </c>
      <c r="AP79" s="108" t="str">
        <f t="shared" si="20"/>
        <v/>
      </c>
      <c r="AQ79" s="108" t="str">
        <f t="shared" si="20"/>
        <v/>
      </c>
      <c r="AR79" s="108" t="str">
        <f t="shared" si="20"/>
        <v/>
      </c>
      <c r="AS79" s="108" t="str">
        <f t="shared" si="20"/>
        <v/>
      </c>
      <c r="AT79" s="108" t="str">
        <f t="shared" si="20"/>
        <v/>
      </c>
      <c r="AU79" s="111" t="str">
        <f t="shared" si="20"/>
        <v/>
      </c>
      <c r="AV79" s="112"/>
    </row>
    <row r="80" spans="1:48" ht="15" customHeight="1" outlineLevel="1">
      <c r="A80" s="31" t="s">
        <v>78</v>
      </c>
      <c r="B80" s="32" t="s">
        <v>79</v>
      </c>
      <c r="C80" s="38">
        <v>46235</v>
      </c>
      <c r="D80" s="36">
        <v>46387</v>
      </c>
      <c r="E80" s="36">
        <v>46371</v>
      </c>
      <c r="F80" s="35">
        <f t="shared" si="24"/>
        <v>136</v>
      </c>
      <c r="G80" s="27"/>
      <c r="H80" s="23">
        <v>0</v>
      </c>
      <c r="I80" s="108" t="str">
        <f t="shared" si="22"/>
        <v/>
      </c>
      <c r="J80" s="108" t="str">
        <f t="shared" si="22"/>
        <v/>
      </c>
      <c r="K80" s="108" t="str">
        <f t="shared" si="22"/>
        <v/>
      </c>
      <c r="L80" s="108" t="str">
        <f t="shared" si="22"/>
        <v/>
      </c>
      <c r="M80" s="108" t="str">
        <f t="shared" si="22"/>
        <v/>
      </c>
      <c r="N80" s="108" t="str">
        <f t="shared" si="22"/>
        <v/>
      </c>
      <c r="O80" s="108" t="str">
        <f t="shared" si="22"/>
        <v/>
      </c>
      <c r="P80" s="108" t="str">
        <f t="shared" si="22"/>
        <v/>
      </c>
      <c r="Q80" s="108" t="str">
        <f t="shared" si="22"/>
        <v/>
      </c>
      <c r="R80" s="108" t="str">
        <f t="shared" si="22"/>
        <v/>
      </c>
      <c r="S80" s="108" t="str">
        <f t="shared" si="22"/>
        <v/>
      </c>
      <c r="T80" s="108" t="str">
        <f t="shared" si="22"/>
        <v/>
      </c>
      <c r="U80" s="108" t="str">
        <f t="shared" si="22"/>
        <v/>
      </c>
      <c r="V80" s="108" t="str">
        <f t="shared" si="22"/>
        <v/>
      </c>
      <c r="W80" s="108" t="str">
        <f t="shared" si="22"/>
        <v/>
      </c>
      <c r="X80" s="108" t="str">
        <f t="shared" si="22"/>
        <v/>
      </c>
      <c r="Y80" s="108" t="str">
        <f t="shared" si="21"/>
        <v/>
      </c>
      <c r="Z80" s="108" t="str">
        <f t="shared" si="21"/>
        <v/>
      </c>
      <c r="AA80" s="108" t="str">
        <f t="shared" si="21"/>
        <v/>
      </c>
      <c r="AB80" s="108" t="str">
        <f t="shared" si="21"/>
        <v/>
      </c>
      <c r="AC80" s="108" t="str">
        <f t="shared" si="21"/>
        <v/>
      </c>
      <c r="AD80" s="108" t="str">
        <f t="shared" si="21"/>
        <v/>
      </c>
      <c r="AE80" s="116">
        <f t="shared" si="21"/>
        <v>0</v>
      </c>
      <c r="AF80" s="116"/>
      <c r="AG80" s="116"/>
      <c r="AH80" s="116"/>
      <c r="AI80" s="116"/>
      <c r="AJ80" s="108" t="str">
        <f t="shared" si="21"/>
        <v/>
      </c>
      <c r="AK80" s="108" t="str">
        <f t="shared" si="21"/>
        <v/>
      </c>
      <c r="AL80" s="108" t="str">
        <f t="shared" si="21"/>
        <v/>
      </c>
      <c r="AM80" s="108" t="str">
        <f t="shared" si="21"/>
        <v/>
      </c>
      <c r="AN80" s="108" t="str">
        <f t="shared" si="20"/>
        <v/>
      </c>
      <c r="AO80" s="108" t="str">
        <f t="shared" si="20"/>
        <v/>
      </c>
      <c r="AP80" s="108" t="str">
        <f t="shared" si="20"/>
        <v/>
      </c>
      <c r="AQ80" s="108" t="str">
        <f t="shared" si="20"/>
        <v/>
      </c>
      <c r="AR80" s="108" t="str">
        <f t="shared" si="20"/>
        <v/>
      </c>
      <c r="AS80" s="108" t="str">
        <f t="shared" si="20"/>
        <v/>
      </c>
      <c r="AT80" s="108" t="str">
        <f t="shared" si="20"/>
        <v/>
      </c>
      <c r="AU80" s="111" t="str">
        <f t="shared" si="20"/>
        <v/>
      </c>
      <c r="AV80" s="112"/>
    </row>
    <row r="81" spans="1:48" ht="15" customHeight="1" outlineLevel="1">
      <c r="A81" s="31" t="s">
        <v>80</v>
      </c>
      <c r="B81" s="32" t="s">
        <v>81</v>
      </c>
      <c r="C81" s="36">
        <v>46311</v>
      </c>
      <c r="D81" s="36">
        <v>46387</v>
      </c>
      <c r="E81" s="36">
        <v>46402</v>
      </c>
      <c r="F81" s="35">
        <f t="shared" si="24"/>
        <v>91</v>
      </c>
      <c r="G81" s="27"/>
      <c r="H81" s="23">
        <v>0</v>
      </c>
      <c r="I81" s="108" t="str">
        <f t="shared" si="22"/>
        <v/>
      </c>
      <c r="J81" s="108" t="str">
        <f t="shared" si="22"/>
        <v/>
      </c>
      <c r="K81" s="108" t="str">
        <f t="shared" si="22"/>
        <v/>
      </c>
      <c r="L81" s="108" t="str">
        <f t="shared" si="22"/>
        <v/>
      </c>
      <c r="M81" s="108" t="str">
        <f t="shared" si="22"/>
        <v/>
      </c>
      <c r="N81" s="108" t="str">
        <f t="shared" si="22"/>
        <v/>
      </c>
      <c r="O81" s="108" t="str">
        <f t="shared" si="22"/>
        <v/>
      </c>
      <c r="P81" s="108" t="str">
        <f t="shared" si="22"/>
        <v/>
      </c>
      <c r="Q81" s="108" t="str">
        <f t="shared" si="22"/>
        <v/>
      </c>
      <c r="R81" s="108" t="str">
        <f t="shared" si="22"/>
        <v/>
      </c>
      <c r="S81" s="108" t="str">
        <f t="shared" si="22"/>
        <v/>
      </c>
      <c r="T81" s="108" t="str">
        <f t="shared" si="22"/>
        <v/>
      </c>
      <c r="U81" s="108" t="str">
        <f t="shared" si="22"/>
        <v/>
      </c>
      <c r="V81" s="108" t="str">
        <f t="shared" si="22"/>
        <v/>
      </c>
      <c r="W81" s="108" t="str">
        <f t="shared" si="22"/>
        <v/>
      </c>
      <c r="X81" s="108" t="str">
        <f t="shared" si="22"/>
        <v/>
      </c>
      <c r="Y81" s="108" t="str">
        <f t="shared" si="21"/>
        <v/>
      </c>
      <c r="Z81" s="108" t="str">
        <f t="shared" si="21"/>
        <v/>
      </c>
      <c r="AA81" s="108" t="str">
        <f t="shared" si="21"/>
        <v/>
      </c>
      <c r="AB81" s="108" t="str">
        <f t="shared" si="21"/>
        <v/>
      </c>
      <c r="AC81" s="108" t="str">
        <f t="shared" si="21"/>
        <v/>
      </c>
      <c r="AD81" s="108" t="str">
        <f t="shared" si="21"/>
        <v/>
      </c>
      <c r="AE81" s="108" t="str">
        <f t="shared" si="21"/>
        <v/>
      </c>
      <c r="AF81" s="108" t="str">
        <f t="shared" si="21"/>
        <v/>
      </c>
      <c r="AG81" s="108" t="str">
        <f t="shared" si="21"/>
        <v/>
      </c>
      <c r="AH81" s="116">
        <f t="shared" si="21"/>
        <v>0</v>
      </c>
      <c r="AI81" s="116"/>
      <c r="AJ81" s="116"/>
      <c r="AK81" s="108" t="str">
        <f t="shared" si="21"/>
        <v/>
      </c>
      <c r="AL81" s="108" t="str">
        <f t="shared" si="21"/>
        <v/>
      </c>
      <c r="AM81" s="108" t="str">
        <f t="shared" si="21"/>
        <v/>
      </c>
      <c r="AN81" s="108" t="str">
        <f t="shared" si="20"/>
        <v/>
      </c>
      <c r="AO81" s="108" t="str">
        <f t="shared" si="20"/>
        <v/>
      </c>
      <c r="AP81" s="108" t="str">
        <f t="shared" si="20"/>
        <v/>
      </c>
      <c r="AQ81" s="108" t="str">
        <f t="shared" si="20"/>
        <v/>
      </c>
      <c r="AR81" s="108" t="str">
        <f t="shared" si="20"/>
        <v/>
      </c>
      <c r="AS81" s="108" t="str">
        <f t="shared" si="20"/>
        <v/>
      </c>
      <c r="AT81" s="108" t="str">
        <f t="shared" si="20"/>
        <v/>
      </c>
      <c r="AU81" s="111" t="str">
        <f t="shared" si="20"/>
        <v/>
      </c>
      <c r="AV81" s="112"/>
    </row>
    <row r="82" spans="1:48" ht="15" customHeight="1" outlineLevel="1">
      <c r="A82" s="31" t="s">
        <v>82</v>
      </c>
      <c r="B82" s="32" t="s">
        <v>22</v>
      </c>
      <c r="C82" s="36">
        <v>46219</v>
      </c>
      <c r="D82" s="36">
        <v>46387</v>
      </c>
      <c r="E82" s="36">
        <v>46310</v>
      </c>
      <c r="F82" s="35">
        <f t="shared" si="24"/>
        <v>91</v>
      </c>
      <c r="G82" s="27"/>
      <c r="H82" s="23">
        <v>0</v>
      </c>
      <c r="I82" s="108" t="str">
        <f t="shared" si="22"/>
        <v/>
      </c>
      <c r="J82" s="108" t="str">
        <f t="shared" si="22"/>
        <v/>
      </c>
      <c r="K82" s="108" t="str">
        <f t="shared" si="22"/>
        <v/>
      </c>
      <c r="L82" s="108" t="str">
        <f t="shared" si="22"/>
        <v/>
      </c>
      <c r="M82" s="108" t="str">
        <f t="shared" si="22"/>
        <v/>
      </c>
      <c r="N82" s="108" t="str">
        <f t="shared" si="22"/>
        <v/>
      </c>
      <c r="O82" s="108" t="str">
        <f t="shared" si="22"/>
        <v/>
      </c>
      <c r="P82" s="108" t="str">
        <f t="shared" si="22"/>
        <v/>
      </c>
      <c r="Q82" s="108" t="str">
        <f t="shared" si="22"/>
        <v/>
      </c>
      <c r="R82" s="108" t="str">
        <f t="shared" si="22"/>
        <v/>
      </c>
      <c r="S82" s="108" t="str">
        <f t="shared" si="22"/>
        <v/>
      </c>
      <c r="T82" s="108" t="str">
        <f t="shared" si="22"/>
        <v/>
      </c>
      <c r="U82" s="108" t="str">
        <f t="shared" si="22"/>
        <v/>
      </c>
      <c r="V82" s="108" t="str">
        <f t="shared" si="22"/>
        <v/>
      </c>
      <c r="W82" s="108" t="str">
        <f t="shared" si="22"/>
        <v/>
      </c>
      <c r="X82" s="108" t="str">
        <f t="shared" si="22"/>
        <v/>
      </c>
      <c r="Y82" s="108" t="str">
        <f t="shared" si="21"/>
        <v/>
      </c>
      <c r="Z82" s="108" t="str">
        <f t="shared" si="21"/>
        <v/>
      </c>
      <c r="AA82" s="108" t="str">
        <f t="shared" si="21"/>
        <v/>
      </c>
      <c r="AB82" s="108" t="str">
        <f t="shared" si="21"/>
        <v/>
      </c>
      <c r="AC82" s="108" t="str">
        <f t="shared" si="21"/>
        <v/>
      </c>
      <c r="AD82" s="108" t="str">
        <f t="shared" si="21"/>
        <v/>
      </c>
      <c r="AE82" s="116">
        <f t="shared" si="21"/>
        <v>0</v>
      </c>
      <c r="AF82" s="116"/>
      <c r="AG82" s="116"/>
      <c r="AH82" s="108" t="str">
        <f t="shared" si="21"/>
        <v/>
      </c>
      <c r="AI82" s="108" t="str">
        <f t="shared" si="21"/>
        <v/>
      </c>
      <c r="AJ82" s="108" t="str">
        <f t="shared" si="21"/>
        <v/>
      </c>
      <c r="AK82" s="108" t="str">
        <f t="shared" si="21"/>
        <v/>
      </c>
      <c r="AL82" s="108" t="str">
        <f t="shared" si="21"/>
        <v/>
      </c>
      <c r="AM82" s="108" t="str">
        <f t="shared" si="21"/>
        <v/>
      </c>
      <c r="AN82" s="108" t="str">
        <f t="shared" si="20"/>
        <v/>
      </c>
      <c r="AO82" s="108" t="str">
        <f t="shared" si="20"/>
        <v/>
      </c>
      <c r="AP82" s="108" t="str">
        <f t="shared" si="20"/>
        <v/>
      </c>
      <c r="AQ82" s="108" t="str">
        <f t="shared" si="20"/>
        <v/>
      </c>
      <c r="AR82" s="108" t="str">
        <f t="shared" si="20"/>
        <v/>
      </c>
      <c r="AS82" s="108" t="str">
        <f t="shared" si="20"/>
        <v/>
      </c>
      <c r="AT82" s="108" t="str">
        <f t="shared" si="20"/>
        <v/>
      </c>
      <c r="AU82" s="111" t="str">
        <f t="shared" si="20"/>
        <v/>
      </c>
      <c r="AV82" s="112"/>
    </row>
    <row r="83" spans="1:48" ht="15" customHeight="1" outlineLevel="1">
      <c r="A83" s="31" t="s">
        <v>83</v>
      </c>
      <c r="B83" s="32" t="s">
        <v>111</v>
      </c>
      <c r="C83" s="36">
        <v>46342</v>
      </c>
      <c r="D83" s="36">
        <v>46387</v>
      </c>
      <c r="E83" s="76">
        <v>46402</v>
      </c>
      <c r="F83" s="35">
        <f t="shared" si="24"/>
        <v>60</v>
      </c>
      <c r="G83" s="28"/>
      <c r="H83" s="23">
        <v>0</v>
      </c>
      <c r="I83" s="108" t="str">
        <f t="shared" si="22"/>
        <v/>
      </c>
      <c r="J83" s="108" t="str">
        <f t="shared" si="22"/>
        <v/>
      </c>
      <c r="K83" s="108" t="str">
        <f t="shared" si="22"/>
        <v/>
      </c>
      <c r="L83" s="108" t="str">
        <f t="shared" si="22"/>
        <v/>
      </c>
      <c r="M83" s="108" t="str">
        <f t="shared" si="22"/>
        <v/>
      </c>
      <c r="N83" s="108" t="str">
        <f t="shared" si="22"/>
        <v/>
      </c>
      <c r="O83" s="108" t="str">
        <f t="shared" si="22"/>
        <v/>
      </c>
      <c r="P83" s="108" t="str">
        <f t="shared" si="22"/>
        <v/>
      </c>
      <c r="Q83" s="108" t="str">
        <f t="shared" si="22"/>
        <v/>
      </c>
      <c r="R83" s="108" t="str">
        <f t="shared" si="22"/>
        <v/>
      </c>
      <c r="S83" s="108" t="str">
        <f t="shared" si="22"/>
        <v/>
      </c>
      <c r="T83" s="108" t="str">
        <f t="shared" si="22"/>
        <v/>
      </c>
      <c r="U83" s="108" t="str">
        <f t="shared" si="22"/>
        <v/>
      </c>
      <c r="V83" s="108" t="str">
        <f t="shared" si="22"/>
        <v/>
      </c>
      <c r="W83" s="108" t="str">
        <f t="shared" si="22"/>
        <v/>
      </c>
      <c r="X83" s="108" t="str">
        <f t="shared" si="22"/>
        <v/>
      </c>
      <c r="Y83" s="108" t="str">
        <f t="shared" si="21"/>
        <v/>
      </c>
      <c r="Z83" s="108" t="str">
        <f t="shared" si="21"/>
        <v/>
      </c>
      <c r="AA83" s="108" t="str">
        <f t="shared" si="21"/>
        <v/>
      </c>
      <c r="AB83" s="108" t="str">
        <f t="shared" si="21"/>
        <v/>
      </c>
      <c r="AC83" s="108" t="str">
        <f t="shared" si="21"/>
        <v/>
      </c>
      <c r="AD83" s="108" t="str">
        <f t="shared" si="21"/>
        <v/>
      </c>
      <c r="AE83" s="108" t="str">
        <f t="shared" si="21"/>
        <v/>
      </c>
      <c r="AF83" s="108" t="str">
        <f t="shared" si="21"/>
        <v/>
      </c>
      <c r="AG83" s="108" t="str">
        <f t="shared" si="21"/>
        <v/>
      </c>
      <c r="AH83" s="116">
        <f>IF(AND(AH$4&lt;=$C83,AH$4&lt;=$E83),$H83,"")</f>
        <v>0</v>
      </c>
      <c r="AI83" s="116"/>
      <c r="AJ83" s="116"/>
      <c r="AK83" s="108" t="str">
        <f t="shared" si="21"/>
        <v/>
      </c>
      <c r="AL83" s="108" t="str">
        <f t="shared" si="21"/>
        <v/>
      </c>
      <c r="AM83" s="108" t="str">
        <f t="shared" si="21"/>
        <v/>
      </c>
      <c r="AN83" s="108" t="str">
        <f t="shared" si="20"/>
        <v/>
      </c>
      <c r="AO83" s="108" t="str">
        <f t="shared" si="20"/>
        <v/>
      </c>
      <c r="AP83" s="108" t="str">
        <f t="shared" si="20"/>
        <v/>
      </c>
      <c r="AQ83" s="108" t="str">
        <f t="shared" si="20"/>
        <v/>
      </c>
      <c r="AR83" s="108" t="str">
        <f t="shared" si="20"/>
        <v/>
      </c>
      <c r="AS83" s="108" t="str">
        <f t="shared" si="20"/>
        <v/>
      </c>
      <c r="AT83" s="108" t="str">
        <f t="shared" si="20"/>
        <v/>
      </c>
      <c r="AU83" s="111" t="str">
        <f t="shared" si="20"/>
        <v/>
      </c>
      <c r="AV83" s="112"/>
    </row>
    <row r="84" spans="1:48" ht="15" customHeight="1">
      <c r="A84" s="129" t="s">
        <v>84</v>
      </c>
      <c r="B84" s="130"/>
      <c r="C84" s="130"/>
      <c r="D84" s="131"/>
      <c r="E84" s="80"/>
      <c r="F84" s="62" t="str">
        <f>ROUNDUP((D89-C85)/30,0) &amp;"MONTHS"</f>
        <v>23MONTHS</v>
      </c>
      <c r="G84" s="26">
        <f>SUM(AC4-C85)/30</f>
        <v>3.5333333333333332</v>
      </c>
      <c r="H84" s="12">
        <f t="array" ref="H84">SUMPRODUCT(H85:H89/3)</f>
        <v>9.9999999999999992E-2</v>
      </c>
      <c r="I84" s="108" t="str">
        <f t="shared" si="22"/>
        <v/>
      </c>
      <c r="J84" s="108" t="str">
        <f t="shared" si="22"/>
        <v/>
      </c>
      <c r="K84" s="108" t="str">
        <f t="shared" si="22"/>
        <v/>
      </c>
      <c r="L84" s="108" t="str">
        <f t="shared" si="22"/>
        <v/>
      </c>
      <c r="M84" s="108" t="str">
        <f t="shared" si="22"/>
        <v/>
      </c>
      <c r="N84" s="108" t="str">
        <f t="shared" si="22"/>
        <v/>
      </c>
      <c r="O84" s="108" t="str">
        <f t="shared" si="22"/>
        <v/>
      </c>
      <c r="P84" s="108" t="str">
        <f t="shared" si="22"/>
        <v/>
      </c>
      <c r="Q84" s="108" t="str">
        <f t="shared" si="22"/>
        <v/>
      </c>
      <c r="R84" s="108" t="str">
        <f t="shared" si="22"/>
        <v/>
      </c>
      <c r="S84" s="108" t="str">
        <f t="shared" si="22"/>
        <v/>
      </c>
      <c r="T84" s="108" t="str">
        <f t="shared" si="22"/>
        <v/>
      </c>
      <c r="U84" s="108" t="str">
        <f t="shared" si="22"/>
        <v/>
      </c>
      <c r="V84" s="108" t="str">
        <f t="shared" si="22"/>
        <v/>
      </c>
      <c r="W84" s="108" t="str">
        <f t="shared" si="22"/>
        <v/>
      </c>
      <c r="X84" s="108" t="str">
        <f t="shared" ref="X84:AM93" si="25">IF(AND(X$4&gt;=$C84,X$4&lt;=$E84),$H84,"")</f>
        <v/>
      </c>
      <c r="Y84" s="108" t="str">
        <f t="shared" si="25"/>
        <v/>
      </c>
      <c r="Z84" s="108" t="str">
        <f t="shared" si="25"/>
        <v/>
      </c>
      <c r="AA84" s="108" t="str">
        <f t="shared" si="25"/>
        <v/>
      </c>
      <c r="AB84" s="108" t="str">
        <f t="shared" si="25"/>
        <v/>
      </c>
      <c r="AC84" s="108" t="str">
        <f t="shared" si="25"/>
        <v/>
      </c>
      <c r="AD84" s="108" t="str">
        <f t="shared" si="25"/>
        <v/>
      </c>
      <c r="AE84" s="108" t="str">
        <f t="shared" si="25"/>
        <v/>
      </c>
      <c r="AF84" s="108" t="str">
        <f t="shared" si="25"/>
        <v/>
      </c>
      <c r="AG84" s="108" t="str">
        <f t="shared" si="25"/>
        <v/>
      </c>
      <c r="AH84" s="108" t="str">
        <f t="shared" si="25"/>
        <v/>
      </c>
      <c r="AI84" s="108" t="str">
        <f t="shared" si="25"/>
        <v/>
      </c>
      <c r="AJ84" s="108" t="str">
        <f t="shared" si="25"/>
        <v/>
      </c>
      <c r="AK84" s="108" t="str">
        <f t="shared" si="25"/>
        <v/>
      </c>
      <c r="AL84" s="108" t="str">
        <f t="shared" si="25"/>
        <v/>
      </c>
      <c r="AM84" s="108" t="str">
        <f t="shared" si="25"/>
        <v/>
      </c>
      <c r="AN84" s="108" t="str">
        <f t="shared" si="20"/>
        <v/>
      </c>
      <c r="AO84" s="108" t="str">
        <f t="shared" si="20"/>
        <v/>
      </c>
      <c r="AP84" s="108" t="str">
        <f t="shared" si="20"/>
        <v/>
      </c>
      <c r="AQ84" s="108" t="str">
        <f t="shared" si="20"/>
        <v/>
      </c>
      <c r="AR84" s="108" t="str">
        <f t="shared" si="20"/>
        <v/>
      </c>
      <c r="AS84" s="108" t="str">
        <f t="shared" si="20"/>
        <v/>
      </c>
      <c r="AT84" s="108" t="str">
        <f t="shared" si="20"/>
        <v/>
      </c>
      <c r="AU84" s="111" t="str">
        <f t="shared" si="20"/>
        <v/>
      </c>
      <c r="AV84" s="112"/>
    </row>
    <row r="85" spans="1:48" ht="15" customHeight="1" outlineLevel="1">
      <c r="A85" s="31" t="s">
        <v>85</v>
      </c>
      <c r="B85" s="32" t="s">
        <v>11</v>
      </c>
      <c r="C85" s="36">
        <v>46068</v>
      </c>
      <c r="D85" s="36">
        <v>46355</v>
      </c>
      <c r="E85" s="36">
        <v>46355</v>
      </c>
      <c r="F85" s="35">
        <f t="shared" ref="F85:F90" si="26">SUM(D85-C85)</f>
        <v>287</v>
      </c>
      <c r="G85" s="24" t="s">
        <v>115</v>
      </c>
      <c r="H85" s="22">
        <v>0.3</v>
      </c>
      <c r="I85" s="108" t="str">
        <f t="shared" ref="I85:X95" si="27">IF(AND(I$4&gt;=$C85,I$4&lt;=$E85),$H85,"")</f>
        <v/>
      </c>
      <c r="J85" s="108" t="str">
        <f t="shared" si="27"/>
        <v/>
      </c>
      <c r="K85" s="108" t="str">
        <f t="shared" si="27"/>
        <v/>
      </c>
      <c r="L85" s="108" t="str">
        <f t="shared" si="27"/>
        <v/>
      </c>
      <c r="M85" s="108" t="str">
        <f t="shared" si="27"/>
        <v/>
      </c>
      <c r="N85" s="108" t="str">
        <f t="shared" si="27"/>
        <v/>
      </c>
      <c r="O85" s="108" t="str">
        <f t="shared" si="27"/>
        <v/>
      </c>
      <c r="P85" s="108" t="str">
        <f t="shared" si="27"/>
        <v/>
      </c>
      <c r="Q85" s="108" t="str">
        <f t="shared" si="27"/>
        <v/>
      </c>
      <c r="R85" s="108" t="str">
        <f t="shared" si="27"/>
        <v/>
      </c>
      <c r="S85" s="108" t="str">
        <f t="shared" si="27"/>
        <v/>
      </c>
      <c r="T85" s="108" t="str">
        <f t="shared" si="27"/>
        <v/>
      </c>
      <c r="U85" s="108" t="str">
        <f t="shared" si="27"/>
        <v/>
      </c>
      <c r="V85" s="108" t="str">
        <f t="shared" si="27"/>
        <v/>
      </c>
      <c r="W85" s="108" t="str">
        <f t="shared" si="27"/>
        <v/>
      </c>
      <c r="X85" s="108" t="str">
        <f t="shared" si="27"/>
        <v/>
      </c>
      <c r="Y85" s="116">
        <f>IF(AND(Y$4&lt;=$C85,Y$4&lt;=$E85),$H85,"")</f>
        <v>0.3</v>
      </c>
      <c r="Z85" s="116"/>
      <c r="AA85" s="116"/>
      <c r="AB85" s="116"/>
      <c r="AC85" s="116"/>
      <c r="AD85" s="116"/>
      <c r="AE85" s="116"/>
      <c r="AF85" s="116"/>
      <c r="AG85" s="116"/>
      <c r="AH85" s="116"/>
      <c r="AI85" s="108" t="str">
        <f t="shared" si="25"/>
        <v/>
      </c>
      <c r="AJ85" s="108" t="str">
        <f t="shared" si="25"/>
        <v/>
      </c>
      <c r="AK85" s="108" t="str">
        <f t="shared" si="25"/>
        <v/>
      </c>
      <c r="AL85" s="108" t="str">
        <f t="shared" si="25"/>
        <v/>
      </c>
      <c r="AM85" s="108" t="str">
        <f t="shared" si="25"/>
        <v/>
      </c>
      <c r="AN85" s="108" t="str">
        <f t="shared" si="20"/>
        <v/>
      </c>
      <c r="AO85" s="108" t="str">
        <f t="shared" si="20"/>
        <v/>
      </c>
      <c r="AP85" s="108" t="str">
        <f t="shared" si="20"/>
        <v/>
      </c>
      <c r="AQ85" s="108" t="str">
        <f t="shared" si="20"/>
        <v/>
      </c>
      <c r="AR85" s="108" t="str">
        <f t="shared" si="20"/>
        <v/>
      </c>
      <c r="AS85" s="108" t="str">
        <f t="shared" si="20"/>
        <v/>
      </c>
      <c r="AT85" s="108" t="str">
        <f t="shared" si="20"/>
        <v/>
      </c>
      <c r="AU85" s="111" t="str">
        <f t="shared" si="20"/>
        <v/>
      </c>
      <c r="AV85" s="112"/>
    </row>
    <row r="86" spans="1:48" ht="15" customHeight="1" outlineLevel="1">
      <c r="A86" s="31" t="s">
        <v>86</v>
      </c>
      <c r="B86" s="32" t="s">
        <v>15</v>
      </c>
      <c r="C86" s="36">
        <v>46235</v>
      </c>
      <c r="D86" s="36">
        <v>46736</v>
      </c>
      <c r="E86" s="36">
        <v>46736</v>
      </c>
      <c r="F86" s="31">
        <f t="shared" si="26"/>
        <v>501</v>
      </c>
      <c r="G86" s="27"/>
      <c r="H86" s="23">
        <v>0</v>
      </c>
      <c r="I86" s="108" t="str">
        <f t="shared" si="27"/>
        <v/>
      </c>
      <c r="J86" s="108" t="str">
        <f t="shared" si="27"/>
        <v/>
      </c>
      <c r="K86" s="108" t="str">
        <f t="shared" si="27"/>
        <v/>
      </c>
      <c r="L86" s="108" t="str">
        <f t="shared" si="27"/>
        <v/>
      </c>
      <c r="M86" s="108" t="str">
        <f t="shared" si="27"/>
        <v/>
      </c>
      <c r="N86" s="108" t="str">
        <f t="shared" si="27"/>
        <v/>
      </c>
      <c r="O86" s="108" t="str">
        <f t="shared" si="27"/>
        <v/>
      </c>
      <c r="P86" s="108" t="str">
        <f t="shared" si="27"/>
        <v/>
      </c>
      <c r="Q86" s="108" t="str">
        <f t="shared" si="27"/>
        <v/>
      </c>
      <c r="R86" s="108" t="str">
        <f t="shared" si="27"/>
        <v/>
      </c>
      <c r="S86" s="108" t="str">
        <f t="shared" si="27"/>
        <v/>
      </c>
      <c r="T86" s="108" t="str">
        <f t="shared" si="27"/>
        <v/>
      </c>
      <c r="U86" s="108" t="str">
        <f t="shared" si="27"/>
        <v/>
      </c>
      <c r="V86" s="108" t="str">
        <f t="shared" si="27"/>
        <v/>
      </c>
      <c r="W86" s="108" t="str">
        <f t="shared" si="27"/>
        <v/>
      </c>
      <c r="X86" s="108" t="str">
        <f t="shared" si="27"/>
        <v/>
      </c>
      <c r="Y86" s="108" t="str">
        <f t="shared" si="25"/>
        <v/>
      </c>
      <c r="Z86" s="108" t="str">
        <f t="shared" si="25"/>
        <v/>
      </c>
      <c r="AA86" s="108" t="str">
        <f t="shared" si="25"/>
        <v/>
      </c>
      <c r="AB86" s="108" t="str">
        <f t="shared" si="25"/>
        <v/>
      </c>
      <c r="AC86" s="108" t="str">
        <f t="shared" si="25"/>
        <v/>
      </c>
      <c r="AD86" s="108" t="str">
        <f t="shared" si="25"/>
        <v/>
      </c>
      <c r="AE86" s="116">
        <f t="shared" si="25"/>
        <v>0</v>
      </c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22"/>
      <c r="AV86" s="113"/>
    </row>
    <row r="87" spans="1:48" ht="15" customHeight="1" outlineLevel="1">
      <c r="A87" s="31" t="s">
        <v>87</v>
      </c>
      <c r="B87" s="32" t="s">
        <v>79</v>
      </c>
      <c r="C87" s="36">
        <v>46357</v>
      </c>
      <c r="D87" s="36">
        <v>46752</v>
      </c>
      <c r="E87" s="36">
        <v>46752</v>
      </c>
      <c r="F87" s="31">
        <f t="shared" si="26"/>
        <v>395</v>
      </c>
      <c r="G87" s="27"/>
      <c r="H87" s="23">
        <v>0</v>
      </c>
      <c r="I87" s="108" t="str">
        <f t="shared" si="27"/>
        <v/>
      </c>
      <c r="J87" s="108" t="str">
        <f t="shared" si="27"/>
        <v/>
      </c>
      <c r="K87" s="108" t="str">
        <f t="shared" si="27"/>
        <v/>
      </c>
      <c r="L87" s="108" t="str">
        <f t="shared" si="27"/>
        <v/>
      </c>
      <c r="M87" s="108" t="str">
        <f t="shared" si="27"/>
        <v/>
      </c>
      <c r="N87" s="108" t="str">
        <f t="shared" si="27"/>
        <v/>
      </c>
      <c r="O87" s="108" t="str">
        <f t="shared" si="27"/>
        <v/>
      </c>
      <c r="P87" s="108" t="str">
        <f t="shared" si="27"/>
        <v/>
      </c>
      <c r="Q87" s="108" t="str">
        <f t="shared" si="27"/>
        <v/>
      </c>
      <c r="R87" s="108" t="str">
        <f t="shared" si="27"/>
        <v/>
      </c>
      <c r="S87" s="108" t="str">
        <f t="shared" si="27"/>
        <v/>
      </c>
      <c r="T87" s="108" t="str">
        <f t="shared" si="27"/>
        <v/>
      </c>
      <c r="U87" s="108" t="str">
        <f t="shared" si="27"/>
        <v/>
      </c>
      <c r="V87" s="108" t="str">
        <f t="shared" si="27"/>
        <v/>
      </c>
      <c r="W87" s="108" t="str">
        <f t="shared" si="27"/>
        <v/>
      </c>
      <c r="X87" s="108" t="str">
        <f t="shared" si="27"/>
        <v/>
      </c>
      <c r="Y87" s="108" t="str">
        <f t="shared" si="25"/>
        <v/>
      </c>
      <c r="Z87" s="108" t="str">
        <f t="shared" si="25"/>
        <v/>
      </c>
      <c r="AA87" s="108" t="str">
        <f t="shared" si="25"/>
        <v/>
      </c>
      <c r="AB87" s="108" t="str">
        <f t="shared" si="25"/>
        <v/>
      </c>
      <c r="AC87" s="108" t="str">
        <f t="shared" si="25"/>
        <v/>
      </c>
      <c r="AD87" s="108" t="str">
        <f t="shared" si="25"/>
        <v/>
      </c>
      <c r="AE87" s="108" t="str">
        <f t="shared" si="25"/>
        <v/>
      </c>
      <c r="AF87" s="108" t="str">
        <f t="shared" si="25"/>
        <v/>
      </c>
      <c r="AG87" s="108" t="str">
        <f t="shared" si="25"/>
        <v/>
      </c>
      <c r="AH87" s="108" t="str">
        <f t="shared" si="25"/>
        <v/>
      </c>
      <c r="AI87" s="116">
        <f t="shared" si="25"/>
        <v>0</v>
      </c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22"/>
      <c r="AV87" s="113"/>
    </row>
    <row r="88" spans="1:48" ht="15" customHeight="1" outlineLevel="1">
      <c r="A88" s="31" t="s">
        <v>88</v>
      </c>
      <c r="B88" s="32" t="s">
        <v>81</v>
      </c>
      <c r="C88" s="36">
        <v>46569</v>
      </c>
      <c r="D88" s="36">
        <v>46752</v>
      </c>
      <c r="E88" s="36">
        <v>46752</v>
      </c>
      <c r="F88" s="31">
        <f t="shared" si="26"/>
        <v>183</v>
      </c>
      <c r="G88" s="27"/>
      <c r="H88" s="23">
        <v>0</v>
      </c>
      <c r="I88" s="108" t="str">
        <f t="shared" si="27"/>
        <v/>
      </c>
      <c r="J88" s="108" t="str">
        <f t="shared" si="27"/>
        <v/>
      </c>
      <c r="K88" s="108" t="str">
        <f t="shared" si="27"/>
        <v/>
      </c>
      <c r="L88" s="108" t="str">
        <f t="shared" si="27"/>
        <v/>
      </c>
      <c r="M88" s="108" t="str">
        <f t="shared" si="27"/>
        <v/>
      </c>
      <c r="N88" s="108" t="str">
        <f t="shared" si="27"/>
        <v/>
      </c>
      <c r="O88" s="108" t="str">
        <f t="shared" si="27"/>
        <v/>
      </c>
      <c r="P88" s="108" t="str">
        <f t="shared" si="27"/>
        <v/>
      </c>
      <c r="Q88" s="108" t="str">
        <f t="shared" si="27"/>
        <v/>
      </c>
      <c r="R88" s="108" t="str">
        <f t="shared" si="27"/>
        <v/>
      </c>
      <c r="S88" s="108" t="str">
        <f t="shared" si="27"/>
        <v/>
      </c>
      <c r="T88" s="108" t="str">
        <f t="shared" si="27"/>
        <v/>
      </c>
      <c r="U88" s="108" t="str">
        <f t="shared" si="27"/>
        <v/>
      </c>
      <c r="V88" s="108" t="str">
        <f t="shared" si="27"/>
        <v/>
      </c>
      <c r="W88" s="108" t="str">
        <f t="shared" si="27"/>
        <v/>
      </c>
      <c r="X88" s="108" t="str">
        <f t="shared" si="27"/>
        <v/>
      </c>
      <c r="Y88" s="108" t="str">
        <f t="shared" si="25"/>
        <v/>
      </c>
      <c r="Z88" s="108" t="str">
        <f t="shared" si="25"/>
        <v/>
      </c>
      <c r="AA88" s="108" t="str">
        <f t="shared" si="25"/>
        <v/>
      </c>
      <c r="AB88" s="108" t="str">
        <f t="shared" si="25"/>
        <v/>
      </c>
      <c r="AC88" s="108" t="str">
        <f t="shared" si="25"/>
        <v/>
      </c>
      <c r="AD88" s="108" t="str">
        <f t="shared" si="25"/>
        <v/>
      </c>
      <c r="AE88" s="108" t="str">
        <f t="shared" si="25"/>
        <v/>
      </c>
      <c r="AF88" s="108" t="str">
        <f t="shared" si="25"/>
        <v/>
      </c>
      <c r="AG88" s="108" t="str">
        <f t="shared" si="25"/>
        <v/>
      </c>
      <c r="AH88" s="108" t="str">
        <f t="shared" si="25"/>
        <v/>
      </c>
      <c r="AI88" s="108" t="str">
        <f t="shared" si="25"/>
        <v/>
      </c>
      <c r="AJ88" s="108" t="str">
        <f t="shared" si="25"/>
        <v/>
      </c>
      <c r="AK88" s="108" t="str">
        <f t="shared" si="25"/>
        <v/>
      </c>
      <c r="AL88" s="108" t="str">
        <f t="shared" si="25"/>
        <v/>
      </c>
      <c r="AM88" s="108" t="str">
        <f t="shared" si="25"/>
        <v/>
      </c>
      <c r="AN88" s="108" t="str">
        <f t="shared" si="20"/>
        <v/>
      </c>
      <c r="AO88" s="108" t="str">
        <f t="shared" si="20"/>
        <v/>
      </c>
      <c r="AP88" s="116">
        <f t="shared" si="20"/>
        <v>0</v>
      </c>
      <c r="AQ88" s="116"/>
      <c r="AR88" s="116"/>
      <c r="AS88" s="116"/>
      <c r="AT88" s="116"/>
      <c r="AU88" s="122"/>
      <c r="AV88" s="113"/>
    </row>
    <row r="89" spans="1:48" ht="15" customHeight="1" outlineLevel="1">
      <c r="A89" s="31" t="s">
        <v>89</v>
      </c>
      <c r="B89" s="32" t="s">
        <v>22</v>
      </c>
      <c r="C89" s="36">
        <v>46661</v>
      </c>
      <c r="D89" s="36">
        <v>46752</v>
      </c>
      <c r="E89" s="36">
        <v>46752</v>
      </c>
      <c r="F89" s="31">
        <f t="shared" si="26"/>
        <v>91</v>
      </c>
      <c r="G89" s="27"/>
      <c r="H89" s="23">
        <v>0</v>
      </c>
      <c r="I89" s="108" t="str">
        <f t="shared" si="27"/>
        <v/>
      </c>
      <c r="J89" s="108" t="str">
        <f t="shared" si="27"/>
        <v/>
      </c>
      <c r="K89" s="108"/>
      <c r="L89" s="108" t="str">
        <f t="shared" si="27"/>
        <v/>
      </c>
      <c r="M89" s="108" t="str">
        <f t="shared" si="27"/>
        <v/>
      </c>
      <c r="N89" s="108" t="str">
        <f t="shared" si="27"/>
        <v/>
      </c>
      <c r="O89" s="108" t="str">
        <f t="shared" si="27"/>
        <v/>
      </c>
      <c r="P89" s="108" t="str">
        <f t="shared" si="27"/>
        <v/>
      </c>
      <c r="Q89" s="108" t="str">
        <f t="shared" si="27"/>
        <v/>
      </c>
      <c r="R89" s="108" t="str">
        <f t="shared" si="27"/>
        <v/>
      </c>
      <c r="S89" s="108" t="str">
        <f t="shared" si="27"/>
        <v/>
      </c>
      <c r="T89" s="108" t="str">
        <f t="shared" si="27"/>
        <v/>
      </c>
      <c r="U89" s="108" t="str">
        <f t="shared" si="27"/>
        <v/>
      </c>
      <c r="V89" s="108" t="str">
        <f t="shared" si="27"/>
        <v/>
      </c>
      <c r="W89" s="108" t="str">
        <f t="shared" si="27"/>
        <v/>
      </c>
      <c r="X89" s="108" t="str">
        <f t="shared" si="27"/>
        <v/>
      </c>
      <c r="Y89" s="108" t="str">
        <f t="shared" si="25"/>
        <v/>
      </c>
      <c r="Z89" s="108" t="str">
        <f t="shared" si="25"/>
        <v/>
      </c>
      <c r="AA89" s="108" t="str">
        <f t="shared" si="25"/>
        <v/>
      </c>
      <c r="AB89" s="108" t="str">
        <f t="shared" si="25"/>
        <v/>
      </c>
      <c r="AC89" s="108" t="str">
        <f t="shared" si="25"/>
        <v/>
      </c>
      <c r="AD89" s="108" t="str">
        <f t="shared" si="25"/>
        <v/>
      </c>
      <c r="AE89" s="108" t="str">
        <f t="shared" si="25"/>
        <v/>
      </c>
      <c r="AF89" s="108" t="str">
        <f t="shared" si="25"/>
        <v/>
      </c>
      <c r="AG89" s="108" t="str">
        <f t="shared" si="25"/>
        <v/>
      </c>
      <c r="AH89" s="108" t="str">
        <f t="shared" si="25"/>
        <v/>
      </c>
      <c r="AI89" s="108" t="str">
        <f t="shared" si="25"/>
        <v/>
      </c>
      <c r="AJ89" s="108" t="str">
        <f t="shared" si="25"/>
        <v/>
      </c>
      <c r="AK89" s="108" t="str">
        <f t="shared" si="25"/>
        <v/>
      </c>
      <c r="AL89" s="108" t="str">
        <f t="shared" si="25"/>
        <v/>
      </c>
      <c r="AM89" s="108" t="str">
        <f t="shared" si="25"/>
        <v/>
      </c>
      <c r="AN89" s="108" t="str">
        <f t="shared" si="20"/>
        <v/>
      </c>
      <c r="AO89" s="108" t="str">
        <f t="shared" si="20"/>
        <v/>
      </c>
      <c r="AP89" s="108" t="str">
        <f t="shared" si="20"/>
        <v/>
      </c>
      <c r="AQ89" s="108" t="str">
        <f t="shared" si="20"/>
        <v/>
      </c>
      <c r="AR89" s="108" t="str">
        <f t="shared" si="20"/>
        <v/>
      </c>
      <c r="AS89" s="116">
        <f t="shared" si="20"/>
        <v>0</v>
      </c>
      <c r="AT89" s="116"/>
      <c r="AU89" s="122"/>
      <c r="AV89" s="113"/>
    </row>
    <row r="90" spans="1:48" ht="15" customHeight="1" outlineLevel="1">
      <c r="A90" s="31" t="s">
        <v>90</v>
      </c>
      <c r="B90" s="34" t="s">
        <v>111</v>
      </c>
      <c r="C90" s="36">
        <v>46661</v>
      </c>
      <c r="D90" s="36">
        <v>46736</v>
      </c>
      <c r="E90" s="36">
        <v>46736</v>
      </c>
      <c r="F90" s="33">
        <f t="shared" si="26"/>
        <v>75</v>
      </c>
      <c r="G90" s="28"/>
      <c r="H90" s="23">
        <v>0</v>
      </c>
      <c r="I90" s="108" t="str">
        <f t="shared" si="27"/>
        <v/>
      </c>
      <c r="J90" s="108" t="str">
        <f t="shared" si="27"/>
        <v/>
      </c>
      <c r="K90" s="108" t="str">
        <f t="shared" si="27"/>
        <v/>
      </c>
      <c r="L90" s="108" t="str">
        <f t="shared" si="27"/>
        <v/>
      </c>
      <c r="M90" s="108" t="str">
        <f t="shared" si="27"/>
        <v/>
      </c>
      <c r="N90" s="108" t="str">
        <f t="shared" si="27"/>
        <v/>
      </c>
      <c r="O90" s="108" t="str">
        <f t="shared" si="27"/>
        <v/>
      </c>
      <c r="P90" s="108" t="str">
        <f t="shared" si="27"/>
        <v/>
      </c>
      <c r="Q90" s="108" t="str">
        <f t="shared" si="27"/>
        <v/>
      </c>
      <c r="R90" s="108" t="str">
        <f t="shared" si="27"/>
        <v/>
      </c>
      <c r="S90" s="108" t="str">
        <f t="shared" si="27"/>
        <v/>
      </c>
      <c r="T90" s="108" t="str">
        <f t="shared" si="27"/>
        <v/>
      </c>
      <c r="U90" s="108" t="str">
        <f t="shared" si="27"/>
        <v/>
      </c>
      <c r="V90" s="108" t="str">
        <f t="shared" si="27"/>
        <v/>
      </c>
      <c r="W90" s="108" t="str">
        <f t="shared" si="27"/>
        <v/>
      </c>
      <c r="X90" s="108" t="str">
        <f t="shared" si="27"/>
        <v/>
      </c>
      <c r="Y90" s="108" t="str">
        <f t="shared" si="25"/>
        <v/>
      </c>
      <c r="Z90" s="108" t="str">
        <f t="shared" si="25"/>
        <v/>
      </c>
      <c r="AA90" s="108" t="str">
        <f t="shared" si="25"/>
        <v/>
      </c>
      <c r="AB90" s="108" t="str">
        <f t="shared" si="25"/>
        <v/>
      </c>
      <c r="AC90" s="108" t="str">
        <f t="shared" si="25"/>
        <v/>
      </c>
      <c r="AD90" s="108" t="str">
        <f t="shared" si="25"/>
        <v/>
      </c>
      <c r="AE90" s="108" t="str">
        <f t="shared" si="25"/>
        <v/>
      </c>
      <c r="AF90" s="108" t="str">
        <f t="shared" si="25"/>
        <v/>
      </c>
      <c r="AG90" s="108" t="str">
        <f t="shared" si="25"/>
        <v/>
      </c>
      <c r="AH90" s="108" t="str">
        <f t="shared" si="25"/>
        <v/>
      </c>
      <c r="AI90" s="108" t="str">
        <f t="shared" si="25"/>
        <v/>
      </c>
      <c r="AJ90" s="108" t="str">
        <f t="shared" si="25"/>
        <v/>
      </c>
      <c r="AK90" s="108" t="str">
        <f t="shared" si="25"/>
        <v/>
      </c>
      <c r="AL90" s="108" t="str">
        <f t="shared" si="25"/>
        <v/>
      </c>
      <c r="AM90" s="108" t="str">
        <f t="shared" si="25"/>
        <v/>
      </c>
      <c r="AN90" s="108" t="str">
        <f t="shared" si="20"/>
        <v/>
      </c>
      <c r="AO90" s="108" t="str">
        <f t="shared" si="20"/>
        <v/>
      </c>
      <c r="AP90" s="108" t="str">
        <f t="shared" si="20"/>
        <v/>
      </c>
      <c r="AQ90" s="108" t="str">
        <f t="shared" si="20"/>
        <v/>
      </c>
      <c r="AR90" s="108" t="str">
        <f t="shared" si="20"/>
        <v/>
      </c>
      <c r="AS90" s="116">
        <f t="shared" si="20"/>
        <v>0</v>
      </c>
      <c r="AT90" s="116"/>
      <c r="AU90" s="122"/>
      <c r="AV90" s="113"/>
    </row>
    <row r="91" spans="1:48" ht="15" customHeight="1">
      <c r="A91" s="40">
        <v>13</v>
      </c>
      <c r="B91" s="41" t="s">
        <v>103</v>
      </c>
      <c r="C91" s="42">
        <v>45641</v>
      </c>
      <c r="D91" s="43">
        <v>46356</v>
      </c>
      <c r="E91" s="43">
        <v>46356</v>
      </c>
      <c r="F91" s="5" t="str">
        <f>ROUNDUP((D91-C91)/30,0) &amp;"MONTHS"</f>
        <v>24MONTHS</v>
      </c>
      <c r="G91" s="29">
        <f>SUM(AC4-C91)/30</f>
        <v>17.766666666666666</v>
      </c>
      <c r="H91" s="11">
        <v>0.7</v>
      </c>
      <c r="I91" s="108" t="str">
        <f t="shared" si="27"/>
        <v/>
      </c>
      <c r="J91" s="108" t="str">
        <f t="shared" si="27"/>
        <v/>
      </c>
      <c r="K91" s="116">
        <f>IF(AND(K$4&lt;=$C91,K$4&lt;=$E91),$H91,"")</f>
        <v>0.7</v>
      </c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08" t="str">
        <f t="shared" si="25"/>
        <v/>
      </c>
      <c r="AJ91" s="108" t="str">
        <f t="shared" si="25"/>
        <v/>
      </c>
      <c r="AK91" s="108" t="str">
        <f t="shared" si="25"/>
        <v/>
      </c>
      <c r="AL91" s="108" t="str">
        <f t="shared" si="25"/>
        <v/>
      </c>
      <c r="AM91" s="108" t="str">
        <f t="shared" si="25"/>
        <v/>
      </c>
      <c r="AN91" s="108" t="str">
        <f t="shared" si="20"/>
        <v/>
      </c>
      <c r="AO91" s="108" t="str">
        <f t="shared" si="20"/>
        <v/>
      </c>
      <c r="AP91" s="108" t="str">
        <f t="shared" si="20"/>
        <v/>
      </c>
      <c r="AQ91" s="108" t="str">
        <f t="shared" si="20"/>
        <v/>
      </c>
      <c r="AR91" s="108" t="str">
        <f t="shared" si="20"/>
        <v/>
      </c>
      <c r="AS91" s="108" t="str">
        <f t="shared" si="20"/>
        <v/>
      </c>
      <c r="AT91" s="108" t="str">
        <f t="shared" si="20"/>
        <v/>
      </c>
      <c r="AU91" s="111" t="str">
        <f t="shared" si="20"/>
        <v/>
      </c>
      <c r="AV91" s="112"/>
    </row>
    <row r="92" spans="1:48" ht="15" customHeight="1">
      <c r="A92" s="40">
        <v>14</v>
      </c>
      <c r="B92" s="44" t="s">
        <v>112</v>
      </c>
      <c r="C92" s="42">
        <v>46077</v>
      </c>
      <c r="D92" s="39">
        <v>46325</v>
      </c>
      <c r="E92" s="39">
        <v>46325</v>
      </c>
      <c r="F92" s="5" t="str">
        <f>ROUNDUP((D92-C92)/30,0) &amp;"MONTHS"</f>
        <v>9MONTHS</v>
      </c>
      <c r="G92" s="29">
        <f>SUM(AC4-C92)/30</f>
        <v>3.2333333333333334</v>
      </c>
      <c r="H92" s="11">
        <v>0.9</v>
      </c>
      <c r="I92" s="108" t="str">
        <f t="shared" si="27"/>
        <v/>
      </c>
      <c r="J92" s="108" t="str">
        <f t="shared" si="27"/>
        <v/>
      </c>
      <c r="K92" s="108" t="str">
        <f t="shared" si="27"/>
        <v/>
      </c>
      <c r="L92" s="108" t="str">
        <f t="shared" si="27"/>
        <v/>
      </c>
      <c r="M92" s="108" t="str">
        <f t="shared" si="27"/>
        <v/>
      </c>
      <c r="N92" s="108" t="str">
        <f t="shared" si="27"/>
        <v/>
      </c>
      <c r="O92" s="108" t="str">
        <f t="shared" si="27"/>
        <v/>
      </c>
      <c r="P92" s="108" t="str">
        <f t="shared" si="27"/>
        <v/>
      </c>
      <c r="Q92" s="108" t="str">
        <f t="shared" si="27"/>
        <v/>
      </c>
      <c r="R92" s="108" t="str">
        <f t="shared" si="27"/>
        <v/>
      </c>
      <c r="S92" s="108" t="str">
        <f t="shared" si="27"/>
        <v/>
      </c>
      <c r="T92" s="108" t="str">
        <f t="shared" si="27"/>
        <v/>
      </c>
      <c r="U92" s="108" t="str">
        <f t="shared" si="27"/>
        <v/>
      </c>
      <c r="V92" s="108" t="str">
        <f t="shared" si="27"/>
        <v/>
      </c>
      <c r="W92" s="108" t="str">
        <f t="shared" si="27"/>
        <v/>
      </c>
      <c r="X92" s="108" t="str">
        <f t="shared" si="27"/>
        <v/>
      </c>
      <c r="Y92" s="108" t="str">
        <f t="shared" si="25"/>
        <v/>
      </c>
      <c r="Z92" s="116">
        <f t="shared" si="25"/>
        <v>0.9</v>
      </c>
      <c r="AA92" s="116"/>
      <c r="AB92" s="116"/>
      <c r="AC92" s="116"/>
      <c r="AD92" s="116"/>
      <c r="AE92" s="116"/>
      <c r="AF92" s="116"/>
      <c r="AG92" s="116"/>
      <c r="AH92" s="108" t="str">
        <f t="shared" si="25"/>
        <v/>
      </c>
      <c r="AI92" s="108" t="str">
        <f t="shared" si="25"/>
        <v/>
      </c>
      <c r="AJ92" s="108" t="str">
        <f t="shared" si="25"/>
        <v/>
      </c>
      <c r="AK92" s="108" t="str">
        <f t="shared" si="25"/>
        <v/>
      </c>
      <c r="AL92" s="108" t="str">
        <f t="shared" si="25"/>
        <v/>
      </c>
      <c r="AM92" s="108" t="str">
        <f t="shared" si="25"/>
        <v/>
      </c>
      <c r="AN92" s="108" t="str">
        <f t="shared" si="20"/>
        <v/>
      </c>
      <c r="AO92" s="108" t="str">
        <f t="shared" si="20"/>
        <v/>
      </c>
      <c r="AP92" s="108" t="str">
        <f t="shared" si="20"/>
        <v/>
      </c>
      <c r="AQ92" s="108" t="str">
        <f t="shared" si="20"/>
        <v/>
      </c>
      <c r="AR92" s="108" t="str">
        <f t="shared" si="20"/>
        <v/>
      </c>
      <c r="AS92" s="108" t="str">
        <f t="shared" si="20"/>
        <v/>
      </c>
      <c r="AT92" s="108" t="str">
        <f t="shared" si="20"/>
        <v/>
      </c>
      <c r="AU92" s="111" t="str">
        <f t="shared" si="20"/>
        <v/>
      </c>
      <c r="AV92" s="112"/>
    </row>
    <row r="93" spans="1:48" ht="15" customHeight="1">
      <c r="A93" s="40">
        <v>15</v>
      </c>
      <c r="B93" s="45" t="s">
        <v>104</v>
      </c>
      <c r="C93" s="42">
        <v>46136</v>
      </c>
      <c r="D93" s="46">
        <v>46386</v>
      </c>
      <c r="E93" s="46">
        <v>46386</v>
      </c>
      <c r="F93" s="5" t="str">
        <f>ROUNDUP((D93-C93)/30,0) &amp;"MONTHS"</f>
        <v>9MONTHS</v>
      </c>
      <c r="G93" s="29">
        <f>SUM(AC4-C93)/30</f>
        <v>1.2666666666666666</v>
      </c>
      <c r="H93" s="11">
        <v>0.5</v>
      </c>
      <c r="I93" s="108" t="str">
        <f t="shared" si="27"/>
        <v/>
      </c>
      <c r="J93" s="108" t="str">
        <f t="shared" si="27"/>
        <v/>
      </c>
      <c r="K93" s="108" t="str">
        <f t="shared" si="27"/>
        <v/>
      </c>
      <c r="L93" s="108" t="str">
        <f t="shared" si="27"/>
        <v/>
      </c>
      <c r="M93" s="108" t="str">
        <f t="shared" si="27"/>
        <v/>
      </c>
      <c r="N93" s="108" t="str">
        <f t="shared" si="27"/>
        <v/>
      </c>
      <c r="O93" s="108" t="str">
        <f t="shared" si="27"/>
        <v/>
      </c>
      <c r="P93" s="108" t="str">
        <f t="shared" si="27"/>
        <v/>
      </c>
      <c r="Q93" s="108" t="str">
        <f t="shared" si="27"/>
        <v/>
      </c>
      <c r="R93" s="108" t="str">
        <f t="shared" si="27"/>
        <v/>
      </c>
      <c r="S93" s="108" t="str">
        <f t="shared" si="27"/>
        <v/>
      </c>
      <c r="T93" s="108" t="str">
        <f t="shared" si="27"/>
        <v/>
      </c>
      <c r="U93" s="108" t="str">
        <f t="shared" si="27"/>
        <v/>
      </c>
      <c r="V93" s="108" t="str">
        <f t="shared" si="27"/>
        <v/>
      </c>
      <c r="W93" s="108" t="str">
        <f t="shared" si="27"/>
        <v/>
      </c>
      <c r="X93" s="108" t="str">
        <f t="shared" si="27"/>
        <v/>
      </c>
      <c r="Y93" s="108" t="str">
        <f t="shared" si="25"/>
        <v/>
      </c>
      <c r="Z93" s="108" t="str">
        <f t="shared" si="25"/>
        <v/>
      </c>
      <c r="AA93" s="108" t="str">
        <f t="shared" si="25"/>
        <v/>
      </c>
      <c r="AB93" s="116">
        <f t="shared" si="25"/>
        <v>0.5</v>
      </c>
      <c r="AC93" s="116"/>
      <c r="AD93" s="116"/>
      <c r="AE93" s="116"/>
      <c r="AF93" s="116"/>
      <c r="AG93" s="116"/>
      <c r="AH93" s="116"/>
      <c r="AI93" s="116"/>
      <c r="AJ93" s="108" t="str">
        <f t="shared" si="25"/>
        <v/>
      </c>
      <c r="AK93" s="108" t="str">
        <f t="shared" si="25"/>
        <v/>
      </c>
      <c r="AL93" s="108" t="str">
        <f t="shared" si="25"/>
        <v/>
      </c>
      <c r="AM93" s="108" t="str">
        <f t="shared" si="25"/>
        <v/>
      </c>
      <c r="AN93" s="108" t="str">
        <f t="shared" si="20"/>
        <v/>
      </c>
      <c r="AO93" s="108" t="str">
        <f t="shared" si="20"/>
        <v/>
      </c>
      <c r="AP93" s="108" t="str">
        <f t="shared" si="20"/>
        <v/>
      </c>
      <c r="AQ93" s="108" t="str">
        <f t="shared" si="20"/>
        <v/>
      </c>
      <c r="AR93" s="108" t="str">
        <f t="shared" si="20"/>
        <v/>
      </c>
      <c r="AS93" s="108" t="str">
        <f t="shared" si="20"/>
        <v/>
      </c>
      <c r="AT93" s="108" t="str">
        <f t="shared" si="20"/>
        <v/>
      </c>
      <c r="AU93" s="111" t="str">
        <f t="shared" ref="J93:AU95" si="28">IF(AND(AU$4&gt;=$C93,AU$4&lt;=$E93),$H93,"")</f>
        <v/>
      </c>
      <c r="AV93" s="112"/>
    </row>
    <row r="94" spans="1:48" ht="15" customHeight="1">
      <c r="A94" s="47">
        <v>16</v>
      </c>
      <c r="B94" s="48" t="s">
        <v>105</v>
      </c>
      <c r="C94" s="43">
        <v>45694</v>
      </c>
      <c r="D94" s="46">
        <v>46752</v>
      </c>
      <c r="E94" s="46">
        <v>46752</v>
      </c>
      <c r="F94" s="5" t="str">
        <f>ROUNDUP((D94-C94)/30,0) &amp;"MONTHS"</f>
        <v>36MONTHS</v>
      </c>
      <c r="G94" s="29">
        <f>SUM(AC4-C94)/30</f>
        <v>16</v>
      </c>
      <c r="H94" s="11">
        <v>0.5</v>
      </c>
      <c r="I94" s="108" t="str">
        <f t="shared" si="27"/>
        <v/>
      </c>
      <c r="J94" s="108" t="str">
        <f t="shared" si="28"/>
        <v/>
      </c>
      <c r="K94" s="108" t="str">
        <f t="shared" si="28"/>
        <v/>
      </c>
      <c r="L94" s="108" t="str">
        <f t="shared" si="28"/>
        <v/>
      </c>
      <c r="M94" s="116">
        <f>IF(AND(M$4&lt;=$C94,M$4&lt;=$E94),$H94,"")</f>
        <v>0.5</v>
      </c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122"/>
      <c r="AV94" s="113"/>
    </row>
    <row r="95" spans="1:48" ht="15" customHeight="1">
      <c r="C95" s="20"/>
      <c r="F95" s="4"/>
      <c r="G95" s="1"/>
      <c r="H95" s="1"/>
      <c r="I95" s="108" t="str">
        <f t="shared" si="27"/>
        <v/>
      </c>
      <c r="J95" s="108" t="str">
        <f t="shared" si="28"/>
        <v/>
      </c>
      <c r="K95" s="108" t="str">
        <f t="shared" si="28"/>
        <v/>
      </c>
      <c r="L95" s="108" t="str">
        <f t="shared" si="28"/>
        <v/>
      </c>
      <c r="M95" s="108" t="str">
        <f t="shared" si="28"/>
        <v/>
      </c>
      <c r="N95" s="108" t="str">
        <f t="shared" si="28"/>
        <v/>
      </c>
      <c r="O95" s="108" t="str">
        <f t="shared" si="28"/>
        <v/>
      </c>
      <c r="P95" s="108" t="str">
        <f t="shared" si="28"/>
        <v/>
      </c>
      <c r="Q95" s="108" t="str">
        <f t="shared" si="28"/>
        <v/>
      </c>
      <c r="R95" s="108" t="str">
        <f t="shared" si="28"/>
        <v/>
      </c>
      <c r="S95" s="108" t="str">
        <f t="shared" si="28"/>
        <v/>
      </c>
      <c r="T95" s="108" t="str">
        <f t="shared" si="28"/>
        <v/>
      </c>
      <c r="U95" s="108" t="str">
        <f t="shared" si="28"/>
        <v/>
      </c>
      <c r="V95" s="108" t="str">
        <f t="shared" si="28"/>
        <v/>
      </c>
      <c r="W95" s="108" t="str">
        <f t="shared" si="28"/>
        <v/>
      </c>
      <c r="X95" s="108" t="str">
        <f t="shared" si="28"/>
        <v/>
      </c>
      <c r="Y95" s="108" t="str">
        <f t="shared" si="28"/>
        <v/>
      </c>
      <c r="Z95" s="108" t="str">
        <f t="shared" si="28"/>
        <v/>
      </c>
      <c r="AA95" s="108" t="str">
        <f t="shared" si="28"/>
        <v/>
      </c>
      <c r="AB95" s="108" t="str">
        <f t="shared" si="28"/>
        <v/>
      </c>
      <c r="AC95" s="108" t="str">
        <f t="shared" si="28"/>
        <v/>
      </c>
      <c r="AD95" s="108" t="str">
        <f t="shared" si="28"/>
        <v/>
      </c>
      <c r="AE95" s="108" t="str">
        <f t="shared" si="28"/>
        <v/>
      </c>
      <c r="AF95" s="108" t="str">
        <f t="shared" si="28"/>
        <v/>
      </c>
      <c r="AG95" s="108" t="str">
        <f t="shared" si="28"/>
        <v/>
      </c>
      <c r="AH95" s="108" t="str">
        <f t="shared" si="28"/>
        <v/>
      </c>
      <c r="AI95" s="108" t="str">
        <f t="shared" si="28"/>
        <v/>
      </c>
      <c r="AJ95" s="108" t="str">
        <f t="shared" si="28"/>
        <v/>
      </c>
      <c r="AK95" s="108" t="str">
        <f t="shared" si="28"/>
        <v/>
      </c>
      <c r="AL95" s="108" t="str">
        <f t="shared" si="28"/>
        <v/>
      </c>
      <c r="AM95" s="108" t="str">
        <f t="shared" si="28"/>
        <v/>
      </c>
      <c r="AN95" s="108" t="str">
        <f t="shared" si="28"/>
        <v/>
      </c>
      <c r="AO95" s="108" t="str">
        <f t="shared" si="28"/>
        <v/>
      </c>
      <c r="AP95" s="108" t="str">
        <f t="shared" si="28"/>
        <v/>
      </c>
      <c r="AQ95" s="108" t="str">
        <f t="shared" si="28"/>
        <v/>
      </c>
      <c r="AR95" s="108" t="str">
        <f t="shared" si="28"/>
        <v/>
      </c>
      <c r="AS95" s="108" t="str">
        <f t="shared" si="28"/>
        <v/>
      </c>
      <c r="AT95" s="108" t="str">
        <f t="shared" si="28"/>
        <v/>
      </c>
      <c r="AU95" s="111" t="str">
        <f t="shared" si="28"/>
        <v/>
      </c>
      <c r="AV95" s="112"/>
    </row>
    <row r="96" spans="1:48" ht="14.1" customHeight="1">
      <c r="A96" s="153" t="s">
        <v>124</v>
      </c>
      <c r="B96" s="153"/>
      <c r="C96" s="153"/>
      <c r="D96" s="153"/>
      <c r="E96" s="72"/>
      <c r="F96" s="67"/>
      <c r="I96" s="91" t="s">
        <v>109</v>
      </c>
      <c r="J96" s="92"/>
      <c r="K96" s="92"/>
      <c r="L96" s="92"/>
      <c r="M96" s="92"/>
    </row>
    <row r="97" spans="1:13" ht="12.95" customHeight="1">
      <c r="A97" s="153"/>
      <c r="B97" s="153"/>
      <c r="C97" s="153"/>
      <c r="D97" s="153"/>
      <c r="E97" s="72"/>
      <c r="F97" s="67"/>
      <c r="I97" s="82" t="s">
        <v>93</v>
      </c>
      <c r="J97" s="83"/>
      <c r="K97" s="83"/>
      <c r="L97" s="84"/>
      <c r="M97" s="15">
        <v>1</v>
      </c>
    </row>
    <row r="98" spans="1:13" ht="12.95" customHeight="1">
      <c r="A98" s="153"/>
      <c r="B98" s="153"/>
      <c r="C98" s="153"/>
      <c r="D98" s="153"/>
      <c r="E98" s="72"/>
      <c r="F98" s="67"/>
      <c r="I98" s="85" t="s">
        <v>94</v>
      </c>
      <c r="J98" s="86"/>
      <c r="K98" s="86"/>
      <c r="L98" s="87"/>
      <c r="M98" s="14">
        <f>SUMPRODUCT(H8+H14+H21+H28+H35)/5</f>
        <v>0.49333333333333329</v>
      </c>
    </row>
    <row r="99" spans="1:13" ht="11.25" customHeight="1">
      <c r="A99" s="153"/>
      <c r="B99" s="153"/>
      <c r="C99" s="153"/>
      <c r="D99" s="153"/>
      <c r="E99" s="72"/>
      <c r="F99" s="67"/>
      <c r="I99" s="88" t="s">
        <v>97</v>
      </c>
      <c r="J99" s="89"/>
      <c r="K99" s="89"/>
      <c r="L99" s="90"/>
      <c r="M99" s="16">
        <f>SUMPRODUCT(H42+H49+H56+H63+H70)/5</f>
        <v>0.1933333333333333</v>
      </c>
    </row>
    <row r="100" spans="1:13" ht="22.5" customHeight="1">
      <c r="A100" s="153"/>
      <c r="B100" s="153"/>
      <c r="C100" s="153"/>
      <c r="D100" s="153"/>
      <c r="E100" s="72"/>
      <c r="I100" s="88" t="s">
        <v>98</v>
      </c>
      <c r="J100" s="89"/>
      <c r="K100" s="89"/>
      <c r="L100" s="90"/>
      <c r="M100" s="16">
        <f>SUMPRODUCT(H77+H84)/2</f>
        <v>0.19999999999999998</v>
      </c>
    </row>
    <row r="101" spans="1:13" ht="12.95" customHeight="1">
      <c r="A101" s="149" t="s">
        <v>91</v>
      </c>
      <c r="B101" s="150"/>
      <c r="C101" s="150"/>
      <c r="I101" s="98" t="s">
        <v>107</v>
      </c>
      <c r="J101" s="98"/>
      <c r="K101" s="98"/>
      <c r="L101" s="99"/>
      <c r="M101" s="17">
        <f>SUMPRODUCT(H91:H94)/4</f>
        <v>0.65</v>
      </c>
    </row>
    <row r="102" spans="1:13">
      <c r="A102" s="147" t="s">
        <v>106</v>
      </c>
      <c r="B102" s="148"/>
      <c r="C102" s="49">
        <v>19</v>
      </c>
    </row>
    <row r="103" spans="1:13">
      <c r="A103" s="147" t="s">
        <v>92</v>
      </c>
      <c r="B103" s="148"/>
      <c r="C103" s="50">
        <v>4</v>
      </c>
    </row>
    <row r="104" spans="1:13">
      <c r="A104" s="147" t="s">
        <v>96</v>
      </c>
      <c r="B104" s="148"/>
      <c r="C104" s="51">
        <v>13</v>
      </c>
    </row>
    <row r="105" spans="1:13">
      <c r="A105" s="147" t="s">
        <v>95</v>
      </c>
      <c r="B105" s="148"/>
      <c r="C105" s="51">
        <v>2</v>
      </c>
    </row>
  </sheetData>
  <mergeCells count="70">
    <mergeCell ref="AV4:AV5"/>
    <mergeCell ref="A105:B105"/>
    <mergeCell ref="A101:C101"/>
    <mergeCell ref="A84:D84"/>
    <mergeCell ref="A77:D77"/>
    <mergeCell ref="A70:D70"/>
    <mergeCell ref="A96:D100"/>
    <mergeCell ref="A102:B102"/>
    <mergeCell ref="A103:B103"/>
    <mergeCell ref="A104:B104"/>
    <mergeCell ref="A8:D8"/>
    <mergeCell ref="AM61:AN61"/>
    <mergeCell ref="AG64:AJ64"/>
    <mergeCell ref="AH66:AM66"/>
    <mergeCell ref="AH68:AI68"/>
    <mergeCell ref="A63:D63"/>
    <mergeCell ref="A1:H1"/>
    <mergeCell ref="G3:G4"/>
    <mergeCell ref="H3:H4"/>
    <mergeCell ref="A3:F3"/>
    <mergeCell ref="A28:D28"/>
    <mergeCell ref="A21:D21"/>
    <mergeCell ref="A14:D14"/>
    <mergeCell ref="A56:D56"/>
    <mergeCell ref="A49:D49"/>
    <mergeCell ref="A42:D42"/>
    <mergeCell ref="A35:D35"/>
    <mergeCell ref="AI87:AU87"/>
    <mergeCell ref="AS89:AU89"/>
    <mergeCell ref="AS90:AU90"/>
    <mergeCell ref="AB71:AG71"/>
    <mergeCell ref="AE73:AI73"/>
    <mergeCell ref="AH83:AJ83"/>
    <mergeCell ref="AE82:AG82"/>
    <mergeCell ref="AH81:AJ81"/>
    <mergeCell ref="AE80:AI80"/>
    <mergeCell ref="AE86:AU86"/>
    <mergeCell ref="AH76:AI76"/>
    <mergeCell ref="M94:AU94"/>
    <mergeCell ref="Y15:AE15"/>
    <mergeCell ref="Z22:AE22"/>
    <mergeCell ref="AD24:AI24"/>
    <mergeCell ref="AD17:AH17"/>
    <mergeCell ref="AG19:AH19"/>
    <mergeCell ref="AF20:AH20"/>
    <mergeCell ref="AG27:AH27"/>
    <mergeCell ref="Y29:AE29"/>
    <mergeCell ref="AD31:AI31"/>
    <mergeCell ref="AG34:AH34"/>
    <mergeCell ref="AB36:AG36"/>
    <mergeCell ref="AF38:AJ38"/>
    <mergeCell ref="AH41:AJ41"/>
    <mergeCell ref="U43:AD43"/>
    <mergeCell ref="AA45:AF45"/>
    <mergeCell ref="Z92:AG92"/>
    <mergeCell ref="AB93:AI93"/>
    <mergeCell ref="I1:M1"/>
    <mergeCell ref="AV57:AV62"/>
    <mergeCell ref="AV64:AV69"/>
    <mergeCell ref="AD48:AF48"/>
    <mergeCell ref="AC50:AG50"/>
    <mergeCell ref="AE52:AI52"/>
    <mergeCell ref="AH55:AI55"/>
    <mergeCell ref="AF57:AJ57"/>
    <mergeCell ref="AH62:AL62"/>
    <mergeCell ref="K91:AH91"/>
    <mergeCell ref="Y85:AH85"/>
    <mergeCell ref="I78:AF78"/>
    <mergeCell ref="AC79:AH79"/>
    <mergeCell ref="AP88:AU88"/>
  </mergeCells>
  <conditionalFormatting sqref="I14">
    <cfRule type="dataBar" priority="90">
      <dataBar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{AC57F113-1B05-41CE-B5F0-677DBEE33F2C}</x14:id>
        </ext>
      </extLst>
    </cfRule>
  </conditionalFormatting>
  <conditionalFormatting sqref="I14:AV14">
    <cfRule type="dataBar" priority="137">
      <dataBar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{BC301CF3-A846-4E4E-90C3-27B71A9D28D0}</x14:id>
        </ext>
      </extLst>
    </cfRule>
  </conditionalFormatting>
  <conditionalFormatting sqref="U43 Z92">
    <cfRule type="cellIs" dxfId="21" priority="48" operator="equal">
      <formula>0.9</formula>
    </cfRule>
  </conditionalFormatting>
  <conditionalFormatting sqref="X72:AV72 X15:Y15 AF15:AV15 X17:AD17 AI17:AV17 X21:AV21 AF22:AV22 X25:AV26 X24:AD24 AJ24:AV24 X28:AV28 X27:AG27 AI27:AV27 X29:Y29 AF29:AV29 X32:AV33 AJ31:AV31 X35:AV35 X34:AG34 AI34:AV34 X36:AB36 AH36:AV36 X39:AV40 X38:AF38 AK38:AV38 X42:AV42 X41:AH41 AK41:AV41 X44:AV44 AE43:AV43 X45:AA45 AG45:AV45 X49:AV49 X48:AD48 AG48:AV48 X51:AV51 X50:AC50 AH50:AV50 X53:AV54 X52:AE52 AJ52:AV52 X55:AH55 AJ55:AV55 X71:AB71 AH71:AV71 X73:AE73 AJ73:AV73 X76:AH76 X84:AV84 I78 AG78:AV78 X79:AC79 AI79:AV79 X80:AE80 AJ80:AV80 X81:AH81 AK81:AV81 X82:AE82 AH82:AV82 AK83:AV83 I95:AV95 X85:Y85 AI85:AV85 X86:AE86 X87:AI87 X88:AP88 I79:W90 X89:AS90 AI91:AV91 X92:Z92 AH92:AV92 I92:W93 X93:AB93 AJ93:AV93 I94:M94 X56:AV56 AJ16:AV16 X16:AC16 AI19:AV20 X23:AV23 AJ18:AV18 X18:AH18 AK30:AV30 X30:AD31 X37:AV37 X74:AV75 AJ76:AV77 X19:AG19 X20:AF20 I15:W42 X22:Z22 X46:AV47 AK57:AV57 X57:AF57 X58:AV58 X59:AH59 AN59:AV59 X60:AV60 X63:AV63 X61:AM61 AO61:AV61 X62:AH62 AM62:AV62 X64:AG64 AK64:AV64 X65:AV65 X67:AV67 X66:AH66 AN66:AV66 X70:AV70 AJ68:AV68 I44:W77 X68:AH69 AM69:AV69 I91:K91 X83:AH83 I43:U43 X77:AI77 AV64:AV69">
    <cfRule type="dataBar" priority="113">
      <dataBar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{F3ADCB7A-03D9-4F30-8329-C1EF576BF9C3}</x14:id>
        </ext>
      </extLst>
    </cfRule>
  </conditionalFormatting>
  <conditionalFormatting sqref="X72:AV72 X14:AV14 X15:Y15 AF15:AV15 X17:AD17 AI17:AV17 X21:AV21 AF22:AV22 X25:AV26 X24:AD24 AJ24:AV24 X28:AV28 X27:AG27 AI27:AV27 X29:Y29 AF29:AV29 X32:AV33 AJ31:AV31 X35:AV35 X34:AG34 AI34:AV34 X36:AB36 AH36:AV36 X39:AV40 X38:AF38 AK38:AV38 X42:AV42 X41:AH41 AK41:AV41 X44:AV44 AE43:AV43 X45:AA45 AG45:AV45 X49:AV49 X48:AD48 AG48:AV48 X51:AV51 X50:AC50 AH50:AV50 X53:AV54 X52:AE52 AJ52:AV52 X55:AH55 AJ55:AV55 X71:AB71 AH71:AV71 X73:AE73 AJ73:AV73 X76:AH76 X84:AV84 I78 AG78:AV78 X79:AC79 AI79:AV79 X80:AE80 AJ80:AV80 X81:AH81 AK81:AV81 X82:AE82 AH82:AV82 AK83:AV83 I95:AV95 X85:Y85 AI85:AV85 X86:AE86 X87:AI87 X88:AP88 I79:W90 X89:AS90 AI91:AV91 X92:Z92 AH92:AV92 I92:W93 X93:AB93 AJ93:AV93 I94:M94 X56:AV56 AJ16:AV16 X16:AC16 AI19:AV20 X23:AV23 AJ18:AV18 X18:AH18 AK30:AV30 X30:AD31 X37:AV37 X74:AV75 AJ76:AV77 X19:AG19 X20:AF20 I14:W42 X22:Z22 X46:AV47 AK57:AV57 X57:AF57 X58:AV58 X59:AH59 AN59:AV59 X60:AV60 X63:AV63 X61:AM61 AO61:AV61 X62:AH62 AM62:AV62 X64:AG64 AK64:AV64 X65:AV65 X67:AV67 X66:AH66 AN66:AV66 X70:AV70 AJ68:AV68 I44:W77 X68:AH69 AM69:AV69 I91:K91 X83:AH83 I43:U43 X77:AI77 AV64:AV69">
    <cfRule type="dataBar" priority="111">
      <dataBar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{759C9CA0-54CC-43BA-9075-7596B6836B44}</x14:id>
        </ext>
      </extLst>
    </cfRule>
  </conditionalFormatting>
  <conditionalFormatting sqref="Y15 AC16">
    <cfRule type="cellIs" dxfId="20" priority="71" operator="equal">
      <formula>0.8</formula>
    </cfRule>
    <cfRule type="cellIs" dxfId="19" priority="84" operator="equal">
      <formula>0.8</formula>
    </cfRule>
  </conditionalFormatting>
  <conditionalFormatting sqref="Y29">
    <cfRule type="cellIs" dxfId="18" priority="59" operator="equal">
      <formula>0.6</formula>
    </cfRule>
  </conditionalFormatting>
  <conditionalFormatting sqref="Y85 AD48">
    <cfRule type="cellIs" dxfId="17" priority="23" operator="equal">
      <formula>0.3</formula>
    </cfRule>
  </conditionalFormatting>
  <conditionalFormatting sqref="Z22">
    <cfRule type="cellIs" dxfId="16" priority="64" operator="equal">
      <formula>0.6</formula>
    </cfRule>
    <cfRule type="cellIs" dxfId="15" priority="73" operator="equal">
      <formula>0.6</formula>
    </cfRule>
    <cfRule type="cellIs" dxfId="14" priority="74" operator="equal">
      <formula>0</formula>
    </cfRule>
    <cfRule type="cellIs" dxfId="13" priority="75" operator="equal">
      <formula>0</formula>
    </cfRule>
  </conditionalFormatting>
  <conditionalFormatting sqref="AA44 I78 K91">
    <cfRule type="cellIs" dxfId="12" priority="47" operator="equal">
      <formula>0.7</formula>
    </cfRule>
  </conditionalFormatting>
  <conditionalFormatting sqref="AA45 AB71 AD23">
    <cfRule type="cellIs" dxfId="11" priority="46" operator="equal">
      <formula>0.4</formula>
    </cfRule>
  </conditionalFormatting>
  <conditionalFormatting sqref="AB36 AB93 AD30 M94">
    <cfRule type="cellIs" dxfId="10" priority="54" operator="equal">
      <formula>0.5</formula>
    </cfRule>
  </conditionalFormatting>
  <conditionalFormatting sqref="AC50 AC79">
    <cfRule type="cellIs" dxfId="9" priority="42" operator="equal">
      <formula>0.2</formula>
    </cfRule>
  </conditionalFormatting>
  <conditionalFormatting sqref="AD17">
    <cfRule type="cellIs" dxfId="8" priority="69" operator="equal">
      <formula>0</formula>
    </cfRule>
    <cfRule type="cellIs" dxfId="7" priority="82" operator="equal">
      <formula>0</formula>
    </cfRule>
  </conditionalFormatting>
  <conditionalFormatting sqref="AD24 AD31 AD37 AE51:AE52 AE72:AE73 AE80 AE82 AE86 AF38 AF46:AF47 AG27 AG34 AG64 AG74 AH41 AH55 AH59 AH62 AH66 AH68:AH69 AH76 AH81 AH83 AH58:AI58 AI25:AI26 AI33 AI53:AI54 AI65 AI75 AI87 AJ39:AJ40 AM60:AM61 AM67 AP88 AS89:AS90">
    <cfRule type="cellIs" dxfId="6" priority="63" operator="equal">
      <formula>0</formula>
    </cfRule>
  </conditionalFormatting>
  <conditionalFormatting sqref="AF20 AG19 AH18">
    <cfRule type="cellIs" dxfId="5" priority="65" operator="equal">
      <formula>0</formula>
    </cfRule>
    <cfRule type="cellIs" dxfId="4" priority="76" operator="equal">
      <formula>0</formula>
    </cfRule>
    <cfRule type="cellIs" dxfId="3" priority="77" operator="equal">
      <formula>0</formula>
    </cfRule>
  </conditionalFormatting>
  <conditionalFormatting sqref="AF57">
    <cfRule type="cellIs" dxfId="2" priority="12" operator="equal">
      <formula>0</formula>
    </cfRule>
    <cfRule type="cellIs" dxfId="1" priority="13" operator="equal">
      <formula>0.2</formula>
    </cfRule>
  </conditionalFormatting>
  <conditionalFormatting sqref="AH18:AL18">
    <cfRule type="cellIs" dxfId="0" priority="68" operator="greaterThan">
      <formula>0</formula>
    </cfRule>
  </conditionalFormatting>
  <pageMargins left="0.22" right="0.24" top="0.38" bottom="1" header="0.27" footer="0.5"/>
  <pageSetup scale="31" orientation="portrait" r:id="rId1"/>
  <ignoredErrors>
    <ignoredError sqref="AD37 AI53 AG74 AF46 AM60 AI65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57F113-1B05-41CE-B5F0-677DBEE33F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I14</xm:sqref>
        </x14:conditionalFormatting>
        <x14:conditionalFormatting xmlns:xm="http://schemas.microsoft.com/office/excel/2006/main">
          <x14:cfRule type="dataBar" id="{BC301CF3-A846-4E4E-90C3-27B71A9D2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I14:AV14</xm:sqref>
        </x14:conditionalFormatting>
        <x14:conditionalFormatting xmlns:xm="http://schemas.microsoft.com/office/excel/2006/main">
          <x14:cfRule type="dataBar" id="{F3ADCB7A-03D9-4F30-8329-C1EF576BF9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X72:AV72 X15:Y15 AF15:AV15 X17:AD17 AI17:AV17 X21:AV21 AF22:AV22 X25:AV26 X24:AD24 AJ24:AV24 X28:AV28 X27:AG27 AI27:AV27 X29:Y29 AF29:AV29 X32:AV33 AJ31:AV31 X35:AV35 X34:AG34 AI34:AV34 X36:AB36 AH36:AV36 X39:AV40 X38:AF38 AK38:AV38 X42:AV42 X41:AH41 AK41:AV41 X44:AV44 AE43:AV43 X45:AA45 AG45:AV45 X49:AV49 X48:AD48 AG48:AV48 X51:AV51 X50:AC50 AH50:AV50 X53:AV54 X52:AE52 AJ52:AV52 X55:AH55 AJ55:AV55 X71:AB71 AH71:AV71 X73:AE73 AJ73:AV73 X76:AH76 X84:AV84 I78 AG78:AV78 X79:AC79 AI79:AV79 X80:AE80 AJ80:AV80 X81:AH81 AK81:AV81 X82:AE82 AH82:AV82 AK83:AV83 I95:AV95 X85:Y85 AI85:AV85 X86:AE86 X87:AI87 X88:AP88 I79:W90 X89:AS90 AI91:AV91 X92:Z92 AH92:AV92 I92:W93 X93:AB93 AJ93:AV93 I94:M94 X56:AV56 AJ16:AV16 X16:AC16 AI19:AV20 X23:AV23 AJ18:AV18 X18:AH18 AK30:AV30 X30:AD31 X37:AV37 X74:AV75 AJ76:AV77 X19:AG19 X20:AF20 I15:W42 X22:Z22 X46:AV47 AK57:AV57 X57:AF57 X58:AV58 X59:AH59 AN59:AV59 X60:AV60 X63:AV63 X61:AM61 AO61:AV61 X62:AH62 AM62:AV62 X64:AG64 AK64:AV64 X65:AV65 X67:AV67 X66:AH66 AN66:AV66 X70:AV70 AJ68:AV68 I44:W77 X68:AH69 AM69:AV69 I91:K91 X83:AH83 I43:U43 X77:AI77</xm:sqref>
        </x14:conditionalFormatting>
        <x14:conditionalFormatting xmlns:xm="http://schemas.microsoft.com/office/excel/2006/main">
          <x14:cfRule type="dataBar" id="{759C9CA0-54CC-43BA-9075-7596B6836B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X72:AV72 X14:AV14 X15:Y15 AF15:AV15 X17:AD17 AI17:AV17 X21:AV21 AF22:AV22 X25:AV26 X24:AD24 AJ24:AV24 X28:AV28 X27:AG27 AI27:AV27 X29:Y29 AF29:AV29 X32:AV33 AJ31:AV31 X35:AV35 X34:AG34 AI34:AV34 X36:AB36 AH36:AV36 X39:AV40 X38:AF38 AK38:AV38 X42:AV42 X41:AH41 AK41:AV41 X44:AV44 AE43:AV43 X45:AA45 AG45:AV45 X49:AV49 X48:AD48 AG48:AV48 X51:AV51 X50:AC50 AH50:AV50 X53:AV54 X52:AE52 AJ52:AV52 X55:AH55 AJ55:AV55 X71:AB71 AH71:AV71 X73:AE73 AJ73:AV73 X76:AH76 X84:AV84 I78 AG78:AV78 X79:AC79 AI79:AV79 X80:AE80 AJ80:AV80 X81:AH81 AK81:AV81 X82:AE82 AH82:AV82 AK83:AV83 I95:AV95 X85:Y85 AI85:AV85 X86:AE86 X87:AI87 X88:AP88 I79:W90 X89:AS90 AI91:AV91 X92:Z92 AH92:AV92 I92:W93 X93:AB93 AJ93:AV93 I94:M94 X56:AV56 AJ16:AV16 X16:AC16 AI19:AV20 X23:AV23 AJ18:AV18 X18:AH18 AK30:AV30 X30:AD31 X37:AV37 X74:AV75 AJ76:AV77 X19:AG19 X20:AF20 I14:W42 X22:Z22 X46:AV47 AK57:AV57 X57:AF57 X58:AV58 X59:AH59 AN59:AV59 X60:AV60 X63:AV63 X61:AM61 AO61:AV61 X62:AH62 AM62:AV62 X64:AG64 AK64:AV64 X65:AV65 X67:AV67 X66:AH66 AN66:AV66 X70:AV70 AJ68:AV68 I44:W77 X68:AH69 AM69:AV69 I91:K91 X83:AH83 I43:U43 X77:AI77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Z10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Gantt Chart</vt:lpstr>
      <vt:lpstr>Sheet1</vt:lpstr>
      <vt:lpstr>'Gantt Chart'!Print_Area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2026-08-01T11:30:49Z</cp:lastPrinted>
  <dcterms:created xsi:type="dcterms:W3CDTF">2026-05-25T09:45:08Z</dcterms:created>
  <dcterms:modified xsi:type="dcterms:W3CDTF">2026-08-12T07:19:19Z</dcterms:modified>
</cp:coreProperties>
</file>
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310" windowHeight="7080"/>
  </bookViews>
  <sheets>
    <sheet name="villa stage wise status" sheetId="5" r:id="rId1"/>
    <sheet name="24th July status" sheetId="4" state="hidden" r:id="rId2"/>
    <sheet name="Villa timeline (site report)" sheetId="2" state="hidden" r:id="rId3"/>
    <sheet name="Villa timeline Jj " sheetId="1" state="hidden" r:id="rId4"/>
    <sheet name="Villa delay status" sheetId="3" state="hidden" r:id="rId5"/>
    <sheet name="Sheet1" sheetId="6" r:id="rId6"/>
  </sheets>
  <definedNames>
    <definedName name="_xlnm.Print_Area" localSheetId="1">'24th July status'!$B$3:$W$35</definedName>
    <definedName name="_xlnm.Print_Area" localSheetId="4">'Villa delay status'!$B$3:$Q$35</definedName>
    <definedName name="_xlnm.Print_Area" localSheetId="0">'villa stage wise status'!$B$3:$Z$36</definedName>
    <definedName name="_xlnm.Print_Area" localSheetId="3">'Villa timeline Jj '!$B$3:$T$35</definedName>
  </definedNames>
  <calcPr calcId="125725"/>
</workbook>
</file>

<file path=xl/calcChain.xml><?xml version="1.0" encoding="utf-8"?>
<calcChain xmlns="http://schemas.openxmlformats.org/spreadsheetml/2006/main">
  <c r="Y6" i="5"/>
  <c r="W6" s="1"/>
  <c r="N18" l="1"/>
  <c r="N19"/>
  <c r="N20"/>
  <c r="N21"/>
  <c r="N22"/>
  <c r="N23"/>
  <c r="N24"/>
  <c r="N25"/>
  <c r="N26"/>
  <c r="N27"/>
  <c r="N28"/>
  <c r="N30"/>
  <c r="N32"/>
  <c r="N33"/>
  <c r="N34"/>
  <c r="N35"/>
  <c r="N36"/>
  <c r="N29"/>
  <c r="N17"/>
  <c r="N31"/>
  <c r="N7"/>
  <c r="N8"/>
  <c r="N9"/>
  <c r="N10"/>
  <c r="N11"/>
  <c r="N12"/>
  <c r="N13"/>
  <c r="N14"/>
  <c r="N15"/>
  <c r="N6"/>
  <c r="Y28"/>
  <c r="Z28" s="1"/>
  <c r="K28"/>
  <c r="Y27"/>
  <c r="K27"/>
  <c r="Y21"/>
  <c r="W21" s="1"/>
  <c r="V21" s="1"/>
  <c r="U21" s="1"/>
  <c r="K21"/>
  <c r="Y23"/>
  <c r="Z23" s="1"/>
  <c r="K23"/>
  <c r="Y26"/>
  <c r="W26" s="1"/>
  <c r="V26" s="1"/>
  <c r="U26" s="1"/>
  <c r="K26"/>
  <c r="Y17"/>
  <c r="Z17" s="1"/>
  <c r="K17"/>
  <c r="Y29"/>
  <c r="W29" s="1"/>
  <c r="V29" s="1"/>
  <c r="U29" s="1"/>
  <c r="K29"/>
  <c r="Y15"/>
  <c r="Z15" s="1"/>
  <c r="K15"/>
  <c r="Y9"/>
  <c r="W9" s="1"/>
  <c r="V9" s="1"/>
  <c r="U9" s="1"/>
  <c r="K9"/>
  <c r="Y10"/>
  <c r="Z10" s="1"/>
  <c r="K10"/>
  <c r="Y35"/>
  <c r="W35" s="1"/>
  <c r="V35" s="1"/>
  <c r="U35" s="1"/>
  <c r="K35"/>
  <c r="Y30"/>
  <c r="Z30" s="1"/>
  <c r="K30"/>
  <c r="Y36"/>
  <c r="W36" s="1"/>
  <c r="V36" s="1"/>
  <c r="U36" s="1"/>
  <c r="K36"/>
  <c r="Y33"/>
  <c r="Z33" s="1"/>
  <c r="K33"/>
  <c r="Y32"/>
  <c r="W32" s="1"/>
  <c r="V32" s="1"/>
  <c r="U32" s="1"/>
  <c r="K32"/>
  <c r="Y24"/>
  <c r="Z24" s="1"/>
  <c r="K24"/>
  <c r="Y7"/>
  <c r="W7" s="1"/>
  <c r="K7"/>
  <c r="Y20"/>
  <c r="Z20" s="1"/>
  <c r="K20"/>
  <c r="Y22"/>
  <c r="W22" s="1"/>
  <c r="V22" s="1"/>
  <c r="U22" s="1"/>
  <c r="K22"/>
  <c r="Y11"/>
  <c r="Z11" s="1"/>
  <c r="K11"/>
  <c r="Y19"/>
  <c r="W19" s="1"/>
  <c r="V19" s="1"/>
  <c r="U19" s="1"/>
  <c r="K19"/>
  <c r="Y18"/>
  <c r="Z18" s="1"/>
  <c r="K18"/>
  <c r="Y34"/>
  <c r="W34" s="1"/>
  <c r="V34" s="1"/>
  <c r="U34" s="1"/>
  <c r="K34"/>
  <c r="Y31"/>
  <c r="Z31" s="1"/>
  <c r="K31"/>
  <c r="Y12"/>
  <c r="W12" s="1"/>
  <c r="V12" s="1"/>
  <c r="U12" s="1"/>
  <c r="K12"/>
  <c r="Y25"/>
  <c r="Z25" s="1"/>
  <c r="K25"/>
  <c r="K6"/>
  <c r="Z14"/>
  <c r="W14"/>
  <c r="V14" s="1"/>
  <c r="U14" s="1"/>
  <c r="K14"/>
  <c r="Z8"/>
  <c r="W8"/>
  <c r="V8" s="1"/>
  <c r="U8" s="1"/>
  <c r="K8"/>
  <c r="Z13"/>
  <c r="W13"/>
  <c r="V13" s="1"/>
  <c r="U13" s="1"/>
  <c r="K13"/>
  <c r="W7" i="4"/>
  <c r="W8"/>
  <c r="W10"/>
  <c r="W11"/>
  <c r="W13"/>
  <c r="W14"/>
  <c r="W16"/>
  <c r="W17"/>
  <c r="W19"/>
  <c r="W20"/>
  <c r="W22"/>
  <c r="W23"/>
  <c r="W25"/>
  <c r="W26"/>
  <c r="W28"/>
  <c r="W29"/>
  <c r="W31"/>
  <c r="W32"/>
  <c r="W34"/>
  <c r="W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6"/>
  <c r="K10" i="1"/>
  <c r="K12"/>
  <c r="K13"/>
  <c r="K14"/>
  <c r="K15"/>
  <c r="K17"/>
  <c r="K18"/>
  <c r="K20"/>
  <c r="K21"/>
  <c r="K22"/>
  <c r="K23"/>
  <c r="K24"/>
  <c r="K25"/>
  <c r="K29"/>
  <c r="K30"/>
  <c r="K31"/>
  <c r="K32"/>
  <c r="K33"/>
  <c r="K34"/>
  <c r="K35"/>
  <c r="T7" i="4"/>
  <c r="T8"/>
  <c r="T9"/>
  <c r="T6"/>
  <c r="V35"/>
  <c r="W35" s="1"/>
  <c r="V10"/>
  <c r="T10" s="1"/>
  <c r="V11"/>
  <c r="T11" s="1"/>
  <c r="V12"/>
  <c r="W12" s="1"/>
  <c r="V13"/>
  <c r="T13" s="1"/>
  <c r="V14"/>
  <c r="T14" s="1"/>
  <c r="V15"/>
  <c r="W15" s="1"/>
  <c r="V16"/>
  <c r="T16" s="1"/>
  <c r="V17"/>
  <c r="T17" s="1"/>
  <c r="V18"/>
  <c r="W18" s="1"/>
  <c r="V19"/>
  <c r="T19" s="1"/>
  <c r="V20"/>
  <c r="T20" s="1"/>
  <c r="V21"/>
  <c r="T21" s="1"/>
  <c r="V22"/>
  <c r="T22" s="1"/>
  <c r="V23"/>
  <c r="T23" s="1"/>
  <c r="V24"/>
  <c r="W24" s="1"/>
  <c r="V25"/>
  <c r="T25" s="1"/>
  <c r="V26"/>
  <c r="T26" s="1"/>
  <c r="V27"/>
  <c r="W27" s="1"/>
  <c r="V28"/>
  <c r="T28" s="1"/>
  <c r="V29"/>
  <c r="T29" s="1"/>
  <c r="V30"/>
  <c r="W30" s="1"/>
  <c r="V31"/>
  <c r="T31" s="1"/>
  <c r="V32"/>
  <c r="T32" s="1"/>
  <c r="V33"/>
  <c r="T33" s="1"/>
  <c r="V34"/>
  <c r="T34" s="1"/>
  <c r="V9"/>
  <c r="W9" s="1"/>
  <c r="T27" l="1"/>
  <c r="T15"/>
  <c r="W33"/>
  <c r="W21"/>
  <c r="T30"/>
  <c r="T24"/>
  <c r="T18"/>
  <c r="T12"/>
  <c r="T35"/>
  <c r="Z27" i="5"/>
  <c r="W27"/>
  <c r="V27" s="1"/>
  <c r="U27" s="1"/>
  <c r="W17"/>
  <c r="V17" s="1"/>
  <c r="U17" s="1"/>
  <c r="W31"/>
  <c r="V31" s="1"/>
  <c r="U31" s="1"/>
  <c r="W33"/>
  <c r="V33" s="1"/>
  <c r="U33" s="1"/>
  <c r="W24"/>
  <c r="V24" s="1"/>
  <c r="U24" s="1"/>
  <c r="Z21"/>
  <c r="W10"/>
  <c r="V10" s="1"/>
  <c r="U10" s="1"/>
  <c r="W18"/>
  <c r="V18" s="1"/>
  <c r="U18" s="1"/>
  <c r="W20"/>
  <c r="V20" s="1"/>
  <c r="U20" s="1"/>
  <c r="W15"/>
  <c r="V15" s="1"/>
  <c r="U15" s="1"/>
  <c r="Z29"/>
  <c r="Z22"/>
  <c r="Z6"/>
  <c r="Z32"/>
  <c r="W25"/>
  <c r="V25" s="1"/>
  <c r="U25" s="1"/>
  <c r="Z35"/>
  <c r="Z34"/>
  <c r="Z12"/>
  <c r="Z7"/>
  <c r="Z9"/>
  <c r="Z19"/>
  <c r="Z36"/>
  <c r="Z26"/>
  <c r="W11"/>
  <c r="V11" s="1"/>
  <c r="U11" s="1"/>
  <c r="W30"/>
  <c r="V30" s="1"/>
  <c r="U30" s="1"/>
  <c r="W23"/>
  <c r="V23" s="1"/>
  <c r="U23" s="1"/>
  <c r="W28"/>
  <c r="V28" s="1"/>
  <c r="U28" s="1"/>
  <c r="P35" i="3"/>
  <c r="Q35" s="1"/>
  <c r="N35"/>
  <c r="O35" s="1"/>
  <c r="M35"/>
  <c r="P34"/>
  <c r="Q34" s="1"/>
  <c r="N34"/>
  <c r="O34" s="1"/>
  <c r="M34"/>
  <c r="P33"/>
  <c r="Q33" s="1"/>
  <c r="N33"/>
  <c r="O33" s="1"/>
  <c r="M33"/>
  <c r="P32"/>
  <c r="Q32" s="1"/>
  <c r="N32"/>
  <c r="O32" s="1"/>
  <c r="M32"/>
  <c r="P31"/>
  <c r="Q31" s="1"/>
  <c r="N31"/>
  <c r="O31" s="1"/>
  <c r="M31"/>
  <c r="P30"/>
  <c r="Q30" s="1"/>
  <c r="N30"/>
  <c r="O30" s="1"/>
  <c r="M30"/>
  <c r="P29"/>
  <c r="Q29" s="1"/>
  <c r="N29"/>
  <c r="O29" s="1"/>
  <c r="M29"/>
  <c r="P28"/>
  <c r="Q28" s="1"/>
  <c r="O28"/>
  <c r="N28"/>
  <c r="M28"/>
  <c r="P27"/>
  <c r="Q27" s="1"/>
  <c r="N27"/>
  <c r="O27" s="1"/>
  <c r="M27"/>
  <c r="Q26"/>
  <c r="P26"/>
  <c r="N26"/>
  <c r="O26" s="1"/>
  <c r="P25"/>
  <c r="Q25" s="1"/>
  <c r="N25"/>
  <c r="O25" s="1"/>
  <c r="P24"/>
  <c r="Q24" s="1"/>
  <c r="N24"/>
  <c r="O24" s="1"/>
  <c r="P23"/>
  <c r="Q23" s="1"/>
  <c r="N23"/>
  <c r="O23" s="1"/>
  <c r="P22"/>
  <c r="Q22" s="1"/>
  <c r="N22"/>
  <c r="O22" s="1"/>
  <c r="P21"/>
  <c r="Q21" s="1"/>
  <c r="N21"/>
  <c r="O21" s="1"/>
  <c r="Q20"/>
  <c r="P20"/>
  <c r="N20"/>
  <c r="O20" s="1"/>
  <c r="P19"/>
  <c r="Q19" s="1"/>
  <c r="N19"/>
  <c r="O19" s="1"/>
  <c r="M19"/>
  <c r="P18"/>
  <c r="Q18" s="1"/>
  <c r="N18"/>
  <c r="O18" s="1"/>
  <c r="M18"/>
  <c r="P17"/>
  <c r="Q17" s="1"/>
  <c r="N17"/>
  <c r="O17" s="1"/>
  <c r="M17"/>
  <c r="P16"/>
  <c r="Q16" s="1"/>
  <c r="N16"/>
  <c r="O16" s="1"/>
  <c r="M16"/>
  <c r="P15"/>
  <c r="Q15" s="1"/>
  <c r="N15"/>
  <c r="O15" s="1"/>
  <c r="M15"/>
  <c r="P14"/>
  <c r="Q14" s="1"/>
  <c r="N14"/>
  <c r="O14" s="1"/>
  <c r="M14"/>
  <c r="P13"/>
  <c r="Q13" s="1"/>
  <c r="N13"/>
  <c r="O13" s="1"/>
  <c r="P12"/>
  <c r="Q12" s="1"/>
  <c r="N12"/>
  <c r="O12" s="1"/>
  <c r="P11"/>
  <c r="Q11" s="1"/>
  <c r="N11"/>
  <c r="O11" s="1"/>
  <c r="M11"/>
  <c r="P10"/>
  <c r="Q10" s="1"/>
  <c r="N10"/>
  <c r="O10" s="1"/>
  <c r="P9"/>
  <c r="Q9" s="1"/>
  <c r="N9"/>
  <c r="O9" s="1"/>
  <c r="M9"/>
  <c r="Q8"/>
  <c r="P8"/>
  <c r="N8"/>
  <c r="O8" s="1"/>
  <c r="M8"/>
  <c r="P7"/>
  <c r="Q7" s="1"/>
  <c r="N7"/>
  <c r="O7" s="1"/>
  <c r="M7"/>
  <c r="P6"/>
  <c r="Q6" s="1"/>
  <c r="N6"/>
  <c r="O6" s="1"/>
  <c r="M6"/>
  <c r="T15" i="1"/>
  <c r="T33"/>
  <c r="S7"/>
  <c r="T7" s="1"/>
  <c r="S8"/>
  <c r="T8" s="1"/>
  <c r="S9"/>
  <c r="T9" s="1"/>
  <c r="S10"/>
  <c r="T10" s="1"/>
  <c r="S11"/>
  <c r="T11" s="1"/>
  <c r="S12"/>
  <c r="T12" s="1"/>
  <c r="S13"/>
  <c r="T13" s="1"/>
  <c r="S14"/>
  <c r="T14" s="1"/>
  <c r="S15"/>
  <c r="S16"/>
  <c r="T16" s="1"/>
  <c r="S17"/>
  <c r="T17" s="1"/>
  <c r="S18"/>
  <c r="T18" s="1"/>
  <c r="S19"/>
  <c r="T19" s="1"/>
  <c r="S20"/>
  <c r="T20" s="1"/>
  <c r="S21"/>
  <c r="T21" s="1"/>
  <c r="S22"/>
  <c r="T22" s="1"/>
  <c r="S23"/>
  <c r="T23" s="1"/>
  <c r="S24"/>
  <c r="T24" s="1"/>
  <c r="S25"/>
  <c r="T25" s="1"/>
  <c r="S26"/>
  <c r="T26" s="1"/>
  <c r="S27"/>
  <c r="T27" s="1"/>
  <c r="S28"/>
  <c r="T28" s="1"/>
  <c r="S29"/>
  <c r="T29" s="1"/>
  <c r="S30"/>
  <c r="T30" s="1"/>
  <c r="S31"/>
  <c r="T31" s="1"/>
  <c r="S32"/>
  <c r="T32" s="1"/>
  <c r="S33"/>
  <c r="S34"/>
  <c r="T34" s="1"/>
  <c r="S35"/>
  <c r="T35" s="1"/>
  <c r="S6"/>
  <c r="T6" s="1"/>
  <c r="P7" l="1"/>
  <c r="P8"/>
  <c r="P9"/>
  <c r="P11"/>
  <c r="P14"/>
  <c r="P15"/>
  <c r="P16"/>
  <c r="P17"/>
  <c r="P18"/>
  <c r="P19"/>
  <c r="P27"/>
  <c r="P28"/>
  <c r="P29"/>
  <c r="P30"/>
  <c r="P31"/>
  <c r="P32"/>
  <c r="P33"/>
  <c r="P34"/>
  <c r="P35"/>
  <c r="P6"/>
  <c r="Q7"/>
  <c r="R7" s="1"/>
  <c r="Q8"/>
  <c r="R8" s="1"/>
  <c r="Q9"/>
  <c r="R9" s="1"/>
  <c r="Q10"/>
  <c r="R10" s="1"/>
  <c r="Q11"/>
  <c r="R11" s="1"/>
  <c r="Q12"/>
  <c r="R12" s="1"/>
  <c r="Q13"/>
  <c r="R13" s="1"/>
  <c r="Q14"/>
  <c r="R14"/>
  <c r="Q15"/>
  <c r="R15" s="1"/>
  <c r="Q16"/>
  <c r="R16"/>
  <c r="Q17"/>
  <c r="R17" s="1"/>
  <c r="Q18"/>
  <c r="R18"/>
  <c r="Q19"/>
  <c r="R19" s="1"/>
  <c r="Q20"/>
  <c r="R20" s="1"/>
  <c r="Q21"/>
  <c r="R21" s="1"/>
  <c r="Q22"/>
  <c r="R22"/>
  <c r="Q23"/>
  <c r="R23" s="1"/>
  <c r="Q24"/>
  <c r="R24" s="1"/>
  <c r="Q25"/>
  <c r="R25"/>
  <c r="Q26"/>
  <c r="R26" s="1"/>
  <c r="Q27"/>
  <c r="R27" s="1"/>
  <c r="Q28"/>
  <c r="R28" s="1"/>
  <c r="Q29"/>
  <c r="R29"/>
  <c r="Q30"/>
  <c r="R30" s="1"/>
  <c r="Q31"/>
  <c r="R31" s="1"/>
  <c r="Q32"/>
  <c r="R32" s="1"/>
  <c r="Q33"/>
  <c r="R33"/>
  <c r="Q34"/>
  <c r="R34" s="1"/>
  <c r="Q35"/>
  <c r="R35" s="1"/>
  <c r="R6"/>
  <c r="Q6"/>
  <c r="B40" i="2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30"/>
  <c r="B31" s="1"/>
  <c r="B32" s="1"/>
  <c r="B33" s="1"/>
  <c r="B34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</calcChain>
</file>

<file path=xl/sharedStrings.xml><?xml version="1.0" encoding="utf-8"?>
<sst xmlns="http://schemas.openxmlformats.org/spreadsheetml/2006/main" count="1052" uniqueCount="290">
  <si>
    <t>Site : Suryam The Sage By Repose - Lohr</t>
  </si>
  <si>
    <t>Sr. No</t>
  </si>
  <si>
    <t>Villa No.</t>
  </si>
  <si>
    <t>Villa type (BHK)</t>
  </si>
  <si>
    <t>Contractor Name</t>
  </si>
  <si>
    <t>Customer 
Signature 
Date</t>
  </si>
  <si>
    <t>Start 
date</t>
  </si>
  <si>
    <t xml:space="preserve">Over all Work % </t>
  </si>
  <si>
    <t>WORK</t>
  </si>
  <si>
    <t>EXTRA WORK</t>
  </si>
  <si>
    <t>Completion Status as per CRM TEAM suggestion</t>
  </si>
  <si>
    <t>Group B-2017-2018</t>
  </si>
  <si>
    <t>A-87-88</t>
  </si>
  <si>
    <t>2 -B</t>
  </si>
  <si>
    <t>K.D.Const. Mevada</t>
  </si>
  <si>
    <t>19.05.2017</t>
  </si>
  <si>
    <t>Done</t>
  </si>
  <si>
    <t>B-56</t>
  </si>
  <si>
    <t>2-A</t>
  </si>
  <si>
    <t>SSC</t>
  </si>
  <si>
    <t>04.06.2017</t>
  </si>
  <si>
    <t>B-57</t>
  </si>
  <si>
    <t>HCC</t>
  </si>
  <si>
    <t>02.01.2018</t>
  </si>
  <si>
    <t>B-66</t>
  </si>
  <si>
    <t>B-72</t>
  </si>
  <si>
    <t>2-B</t>
  </si>
  <si>
    <t>01.08.2017</t>
  </si>
  <si>
    <t>B-73</t>
  </si>
  <si>
    <t>2-C</t>
  </si>
  <si>
    <t>08.10.2017</t>
  </si>
  <si>
    <t>B-74/75</t>
  </si>
  <si>
    <t>B-76</t>
  </si>
  <si>
    <t xml:space="preserve"> 1 WI</t>
  </si>
  <si>
    <t>B-88/89</t>
  </si>
  <si>
    <t>2- A  /0</t>
  </si>
  <si>
    <t>20.05.2017</t>
  </si>
  <si>
    <t>B-134/135/    136</t>
  </si>
  <si>
    <t>2 -C</t>
  </si>
  <si>
    <t>05.05.2017</t>
  </si>
  <si>
    <t>B-158/159</t>
  </si>
  <si>
    <t>15.08.2017</t>
  </si>
  <si>
    <t>B-170 to173</t>
  </si>
  <si>
    <t>2-spe.</t>
  </si>
  <si>
    <t>10.11.2017</t>
  </si>
  <si>
    <t>B-178</t>
  </si>
  <si>
    <t>1-WI</t>
  </si>
  <si>
    <t>B-169</t>
  </si>
  <si>
    <t>B-179</t>
  </si>
  <si>
    <t>B-182-183-199-200</t>
  </si>
  <si>
    <t>2-A/ 0</t>
  </si>
  <si>
    <t>B-194/195</t>
  </si>
  <si>
    <t>19.08.2017</t>
  </si>
  <si>
    <t>C-127</t>
  </si>
  <si>
    <t>1 WI</t>
  </si>
  <si>
    <t>10.01.2018</t>
  </si>
  <si>
    <t>Group C-2018-2019</t>
  </si>
  <si>
    <t>B-22/23</t>
  </si>
  <si>
    <t>K.C.</t>
  </si>
  <si>
    <t>10.05.2018</t>
  </si>
  <si>
    <t>B-147</t>
  </si>
  <si>
    <t>1-</t>
  </si>
  <si>
    <t>C-27-28</t>
  </si>
  <si>
    <t>10.07.2018</t>
  </si>
  <si>
    <t>C-158</t>
  </si>
  <si>
    <t>16.05.2018</t>
  </si>
  <si>
    <t>C-173</t>
  </si>
  <si>
    <t>D-32-33</t>
  </si>
  <si>
    <t>01.07.2018</t>
  </si>
  <si>
    <t>D-76</t>
  </si>
  <si>
    <t>1-160</t>
  </si>
  <si>
    <t>Group D-2019-2020</t>
  </si>
  <si>
    <t>A-06</t>
  </si>
  <si>
    <t>K.D.</t>
  </si>
  <si>
    <t>01.07.2019</t>
  </si>
  <si>
    <t>A-24</t>
  </si>
  <si>
    <t>15.04.19</t>
  </si>
  <si>
    <t>B-20/21</t>
  </si>
  <si>
    <t>05.01.2019</t>
  </si>
  <si>
    <t>A-93-94</t>
  </si>
  <si>
    <t>2-/0</t>
  </si>
  <si>
    <t>B-33</t>
  </si>
  <si>
    <t>20.12.2020</t>
  </si>
  <si>
    <t>B-37-38</t>
  </si>
  <si>
    <t>15.11.2019</t>
  </si>
  <si>
    <t>B-77</t>
  </si>
  <si>
    <t>B-107</t>
  </si>
  <si>
    <t>01.02.2019</t>
  </si>
  <si>
    <t>B-108</t>
  </si>
  <si>
    <t>15.05.2019</t>
  </si>
  <si>
    <t>B-141</t>
  </si>
  <si>
    <t>25.12.2019</t>
  </si>
  <si>
    <t>B-146</t>
  </si>
  <si>
    <t>07.12.2019</t>
  </si>
  <si>
    <t>B-144</t>
  </si>
  <si>
    <t>16.01.2020</t>
  </si>
  <si>
    <t>B-149</t>
  </si>
  <si>
    <t>05.01.2020</t>
  </si>
  <si>
    <t>B-164</t>
  </si>
  <si>
    <t>B-203</t>
  </si>
  <si>
    <t>05.05.2019</t>
  </si>
  <si>
    <t>C-09</t>
  </si>
  <si>
    <t>C-21</t>
  </si>
  <si>
    <t>27.01.2020</t>
  </si>
  <si>
    <t>C-64</t>
  </si>
  <si>
    <t>C-78-79</t>
  </si>
  <si>
    <t>2-New</t>
  </si>
  <si>
    <t>20.12.2019</t>
  </si>
  <si>
    <t>C-143</t>
  </si>
  <si>
    <t>1-W</t>
  </si>
  <si>
    <t>18.01.2019</t>
  </si>
  <si>
    <t>C-161</t>
  </si>
  <si>
    <t>C-174</t>
  </si>
  <si>
    <t>C-207</t>
  </si>
  <si>
    <t>15.04.2019</t>
  </si>
  <si>
    <t>D-13</t>
  </si>
  <si>
    <t>D-17-18</t>
  </si>
  <si>
    <t>D-69/70/77/78</t>
  </si>
  <si>
    <t>30.05.2019</t>
  </si>
  <si>
    <t>D-86</t>
  </si>
  <si>
    <t>12.03.2019</t>
  </si>
  <si>
    <t>D-88</t>
  </si>
  <si>
    <t>01.08.2019</t>
  </si>
  <si>
    <t>D-89</t>
  </si>
  <si>
    <t>25.02.2019</t>
  </si>
  <si>
    <t>C-205/206</t>
  </si>
  <si>
    <t>23.06.2019</t>
  </si>
  <si>
    <t>A-93/94</t>
  </si>
  <si>
    <t>2-B/0</t>
  </si>
  <si>
    <t>C-82-83-102-103</t>
  </si>
  <si>
    <t>01.07.2020</t>
  </si>
  <si>
    <t>D-94</t>
  </si>
  <si>
    <t>D-07-08</t>
  </si>
  <si>
    <t>15.08.2020</t>
  </si>
  <si>
    <t>D-81</t>
  </si>
  <si>
    <t>25.03.2020</t>
  </si>
  <si>
    <t>B-47</t>
  </si>
  <si>
    <t>2-A/ Studio</t>
  </si>
  <si>
    <t>20.07.2020</t>
  </si>
  <si>
    <t>05.09.2021</t>
  </si>
  <si>
    <t>Group E- 2020-2021</t>
  </si>
  <si>
    <t>N3A</t>
  </si>
  <si>
    <t>421 SQ YD</t>
  </si>
  <si>
    <t xml:space="preserve">Real Infra </t>
  </si>
  <si>
    <t>FIRST FLOOR BRICK  WORK  . GROUND FLOOR INTERNAL PLASTER WORK</t>
  </si>
  <si>
    <t>N05</t>
  </si>
  <si>
    <t>216 SQ YD</t>
  </si>
  <si>
    <t>INTERNALS PLUMBING WORK . VILLA OUTER DEVLOPMENT WORK . TILES WORK IN PROGRESS.</t>
  </si>
  <si>
    <t>N09</t>
  </si>
  <si>
    <t>480 SQ YD</t>
  </si>
  <si>
    <t xml:space="preserve">GROUND FLOOR SLAB STEEL WORK </t>
  </si>
  <si>
    <t>N10</t>
  </si>
  <si>
    <t xml:space="preserve">VILLA OUTER DEVLOPMENT &amp; INTERNALS  TILES WORK </t>
  </si>
  <si>
    <t>N12A</t>
  </si>
  <si>
    <t>Z Square</t>
  </si>
  <si>
    <t>GROUND BEAM STEEL WORK</t>
  </si>
  <si>
    <t>N14</t>
  </si>
  <si>
    <t xml:space="preserve">Real infra </t>
  </si>
  <si>
    <t xml:space="preserve">SLAB STEEL WORK </t>
  </si>
  <si>
    <t>N15</t>
  </si>
  <si>
    <t>Nirvay Infra</t>
  </si>
  <si>
    <t>N16</t>
  </si>
  <si>
    <t>545 SQ YD</t>
  </si>
  <si>
    <t>N22</t>
  </si>
  <si>
    <t>GROUND FLOOR BRICK WORK LINTAL LVL</t>
  </si>
  <si>
    <t>N26</t>
  </si>
  <si>
    <t>N27</t>
  </si>
  <si>
    <t xml:space="preserve">OUTER PLASTER WORK </t>
  </si>
  <si>
    <t>N29</t>
  </si>
  <si>
    <t>GB BEAM &amp; PILE CAP DE SHUTTERING WORK</t>
  </si>
  <si>
    <t>N36</t>
  </si>
  <si>
    <t xml:space="preserve">317 SQ YD </t>
  </si>
  <si>
    <t>GF FLOOR SLAB STEEL WORK</t>
  </si>
  <si>
    <t>N62</t>
  </si>
  <si>
    <t>VILLA OUTER DEVLOPMENT WORK &amp; TILES WORK</t>
  </si>
  <si>
    <t>TOILET DOOR DIRECTION CHANGE  &amp; URINAL REMOVED FROM DAY TOILET</t>
  </si>
  <si>
    <t>N66</t>
  </si>
  <si>
    <t>GB BEAM &amp; PILE CAP STEEL WORK</t>
  </si>
  <si>
    <t>S02</t>
  </si>
  <si>
    <t>494 SQ YD</t>
  </si>
  <si>
    <t>BRICKS INFRA</t>
  </si>
  <si>
    <t>GF COLUMN CASTING WORK</t>
  </si>
  <si>
    <t>S04</t>
  </si>
  <si>
    <t>S06</t>
  </si>
  <si>
    <t>S10</t>
  </si>
  <si>
    <t>VAIDEHI</t>
  </si>
  <si>
    <t xml:space="preserve">PILE CAGE WORK </t>
  </si>
  <si>
    <t>S12A</t>
  </si>
  <si>
    <t>S14</t>
  </si>
  <si>
    <t>351 SQ YD</t>
  </si>
  <si>
    <t>AVS</t>
  </si>
  <si>
    <t>TILES &amp; PLUMBING WORK &amp; OUTER DEVLOPMENT WORK</t>
  </si>
  <si>
    <t>S18</t>
  </si>
  <si>
    <t>163 SQ YD</t>
  </si>
  <si>
    <t>OUTER DEVLOPMENT WORK &amp; INTERNAL TILES WORK</t>
  </si>
  <si>
    <t>S30</t>
  </si>
  <si>
    <t>S34</t>
  </si>
  <si>
    <t>PILE CAP EXCAVTION WORK</t>
  </si>
  <si>
    <t>S37</t>
  </si>
  <si>
    <t>285 SQ YD</t>
  </si>
  <si>
    <t>SLAB STEELWORK</t>
  </si>
  <si>
    <t xml:space="preserve">S38 </t>
  </si>
  <si>
    <t>PILE CAP PCC WORK</t>
  </si>
  <si>
    <t>S40</t>
  </si>
  <si>
    <t>S50</t>
  </si>
  <si>
    <t>317 SQ TD</t>
  </si>
  <si>
    <t>GF SLAB SHUTTERING WORK</t>
  </si>
  <si>
    <t>5 CHANGES        
ADD CORTYUARD, DAY TOILET DOOR ,URINAL REMOVE, WC SHIFTED,         L SHAPE KITCHAN</t>
  </si>
  <si>
    <t>S54</t>
  </si>
  <si>
    <t>COLUMN STARTER WORK</t>
  </si>
  <si>
    <t>S60</t>
  </si>
  <si>
    <t>Project Manager</t>
  </si>
  <si>
    <t>AGM Projects</t>
  </si>
  <si>
    <t xml:space="preserve"> Director Operations</t>
  </si>
  <si>
    <t>Sign/Date</t>
  </si>
  <si>
    <t xml:space="preserve">    </t>
  </si>
  <si>
    <t>Hasmukhbhai Patel</t>
  </si>
  <si>
    <t>Adarshbhai Gupta</t>
  </si>
  <si>
    <t>Hiteshbhai Patel</t>
  </si>
  <si>
    <t>587 SQ YD</t>
  </si>
  <si>
    <t>239 SQ YD</t>
  </si>
  <si>
    <t>492 SQ YD</t>
  </si>
  <si>
    <t>Actual
Start Date</t>
  </si>
  <si>
    <t>PILE WORK</t>
  </si>
  <si>
    <t>PILE WORK DONE EXCAWATION START</t>
  </si>
  <si>
    <t xml:space="preserve">PILE WORK DONE </t>
  </si>
  <si>
    <t xml:space="preserve"> Possession Date</t>
  </si>
  <si>
    <t>Villa Progress Report -22 JUN 2026</t>
  </si>
  <si>
    <t>1.4 M KITCHEN PLATFORMS ADDED / SINK &amp; STOVE LOCTION REVISED / OVERHEAD TANK PLACED ABOVE ONE OF THE BADROOM.</t>
  </si>
  <si>
    <t>STORE DOOR HAS SHIFTED IN THE CENTER OF THE STORE.</t>
  </si>
  <si>
    <t>PILE CAGE WORK</t>
  </si>
  <si>
    <t>NEAR KITCHEN          
THREE WALL CHANGES/ NT ADDED</t>
  </si>
  <si>
    <t>North Villa</t>
  </si>
  <si>
    <t>South Villa</t>
  </si>
  <si>
    <t>Actual Possession date</t>
  </si>
  <si>
    <t>Strt Date</t>
  </si>
  <si>
    <t>Sign off</t>
  </si>
  <si>
    <t xml:space="preserve">Actual
</t>
  </si>
  <si>
    <t>Possession Date</t>
  </si>
  <si>
    <t xml:space="preserve">Sign off </t>
  </si>
  <si>
    <t>Actual</t>
  </si>
  <si>
    <t xml:space="preserve">The Sage By Repose </t>
  </si>
  <si>
    <t xml:space="preserve">BRICKS </t>
  </si>
  <si>
    <t xml:space="preserve"> </t>
  </si>
  <si>
    <t>Delay Days</t>
  </si>
  <si>
    <t>Delay in Months</t>
  </si>
  <si>
    <t>Actual time Taken Days</t>
  </si>
  <si>
    <t>Actual time Taken Months</t>
  </si>
  <si>
    <t>Committed</t>
  </si>
  <si>
    <t>Over all Work % as on date</t>
  </si>
  <si>
    <t>Stage 1</t>
  </si>
  <si>
    <t>Stage2</t>
  </si>
  <si>
    <t>Stage 3</t>
  </si>
  <si>
    <t>Stage 4</t>
  </si>
  <si>
    <t>CRM handover</t>
  </si>
  <si>
    <t xml:space="preserve">QC + CRM inspection </t>
  </si>
  <si>
    <t>Stage 2</t>
  </si>
  <si>
    <t>GF slab</t>
  </si>
  <si>
    <t>Completion upto Windows+façade+Ladnscape</t>
  </si>
  <si>
    <t xml:space="preserve">GF columns + Beam + FF Slab </t>
  </si>
  <si>
    <t>GF columns + Beam + Terrace Slab</t>
  </si>
  <si>
    <t xml:space="preserve">GF Unit </t>
  </si>
  <si>
    <t>GF + FF Unit</t>
  </si>
  <si>
    <t>Diff in new possession date  (months)</t>
  </si>
  <si>
    <t>Masonary Complete + MEP</t>
  </si>
  <si>
    <t>Terrace slab + Masonary Complete + MEP</t>
  </si>
  <si>
    <t>Actual timel to delivery (months)</t>
  </si>
  <si>
    <t>Start Date</t>
  </si>
  <si>
    <t>Villa type</t>
  </si>
  <si>
    <t>Contractor</t>
  </si>
  <si>
    <t>Actual time  to delivery (months)</t>
  </si>
  <si>
    <t xml:space="preserve">Villa Progress Report </t>
  </si>
  <si>
    <t>Time to delivery (months)</t>
  </si>
  <si>
    <t>PLINTH</t>
  </si>
  <si>
    <t>RCC</t>
  </si>
  <si>
    <t>FINISHING</t>
  </si>
  <si>
    <t>MASONARY PLASTER+ MEP (concealed)</t>
  </si>
  <si>
    <t>COMPLETE</t>
  </si>
  <si>
    <t>Dira</t>
  </si>
  <si>
    <t xml:space="preserve">Doors, Windows &amp; Cobble Order placed  </t>
  </si>
  <si>
    <t>Doors, Windows &amp; Cobble  received</t>
  </si>
  <si>
    <t>N53</t>
  </si>
  <si>
    <t>N64</t>
  </si>
  <si>
    <t>N11</t>
  </si>
  <si>
    <t>S32</t>
  </si>
  <si>
    <t>S 07/08</t>
  </si>
  <si>
    <t>N 6/78</t>
  </si>
  <si>
    <t xml:space="preserve"> 10th July</t>
  </si>
  <si>
    <t>20th July</t>
  </si>
  <si>
    <t>30th July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</si>
</sst>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[$-409]d\-mmm\-yy"/>
    <numFmt numFmtId="166" formatCode="_(* #,##0_);_(* \(#,##0\);_(* &quot;-&quot;??_);_(@_)"/>
    <numFmt numFmtId="167" formatCode="#,##0.0"/>
  </numFmts>
  <fonts count="32">
    <font>
      <sz val="11"/>
      <color rgb="FF000000"/>
      <name val="Calibri"/>
      <scheme val="minor"/>
    </font>
    <font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4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3"/>
      <color rgb="FF000000"/>
      <name val="Avenir Book"/>
      <family val="2"/>
    </font>
    <font>
      <sz val="13"/>
      <name val="Avenir Book"/>
      <family val="2"/>
    </font>
    <font>
      <b/>
      <sz val="13"/>
      <name val="Avenir Book"/>
      <family val="2"/>
    </font>
    <font>
      <sz val="13"/>
      <color rgb="FFFF0000"/>
      <name val="Avenir Book"/>
      <family val="2"/>
    </font>
    <font>
      <b/>
      <sz val="13"/>
      <color rgb="FFFF0000"/>
      <name val="Avenir Book"/>
      <family val="2"/>
    </font>
    <font>
      <sz val="13"/>
      <color theme="1"/>
      <name val="Avenir Book"/>
      <family val="2"/>
    </font>
    <font>
      <b/>
      <sz val="13"/>
      <color theme="1"/>
      <name val="Avenir Book"/>
      <family val="2"/>
    </font>
    <font>
      <b/>
      <sz val="12"/>
      <name val="Avenir Book"/>
      <family val="2"/>
    </font>
    <font>
      <b/>
      <sz val="12"/>
      <color theme="1"/>
      <name val="Avenir Book"/>
      <family val="2"/>
    </font>
    <font>
      <b/>
      <sz val="13"/>
      <color rgb="FF000000"/>
      <name val="Avenir Book"/>
      <family val="2"/>
    </font>
    <font>
      <b/>
      <sz val="14"/>
      <name val="Avenir Book"/>
      <family val="2"/>
    </font>
    <font>
      <sz val="14"/>
      <color rgb="FF000000"/>
      <name val="Avenir Book"/>
      <family val="2"/>
    </font>
    <font>
      <b/>
      <sz val="14"/>
      <color theme="1"/>
      <name val="Avenir Book"/>
      <family val="2"/>
    </font>
    <font>
      <b/>
      <sz val="14"/>
      <color rgb="FFFF0000"/>
      <name val="Avenir Book"/>
      <family val="2"/>
    </font>
    <font>
      <b/>
      <sz val="14"/>
      <name val="Avenir"/>
    </font>
    <font>
      <sz val="11"/>
      <name val="Calibri"/>
    </font>
    <font>
      <b/>
      <sz val="13"/>
      <name val="Avenir"/>
    </font>
    <font>
      <b/>
      <sz val="13"/>
      <color rgb="FFFF0000"/>
      <name val="Avenir"/>
    </font>
  </fonts>
  <fills count="14">
    <fill>
      <patternFill patternType="none"/>
    </fill>
    <fill>
      <patternFill patternType="gray125"/>
    </fill>
    <fill>
      <patternFill patternType="solid">
        <fgColor rgb="FF92D04F"/>
        <bgColor rgb="FF92D04F"/>
      </patternFill>
    </fill>
    <fill>
      <patternFill patternType="solid">
        <fgColor rgb="FFFFE100"/>
        <bgColor rgb="FFFFE100"/>
      </patternFill>
    </fill>
    <fill>
      <patternFill patternType="solid">
        <fgColor rgb="FFCCFECC"/>
        <bgColor rgb="FFCCFE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indexed="64"/>
      </patternFill>
    </fill>
  </fills>
  <borders count="9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3" fillId="0" borderId="0" applyFont="0" applyFill="0" applyBorder="0" applyAlignment="0" applyProtection="0"/>
  </cellStyleXfs>
  <cellXfs count="389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right" vertical="center"/>
    </xf>
    <xf numFmtId="9" fontId="6" fillId="0" borderId="8" xfId="0" applyNumberFormat="1" applyFont="1" applyBorder="1" applyAlignment="1">
      <alignment horizontal="center" vertical="center" wrapText="1"/>
    </xf>
    <xf numFmtId="9" fontId="6" fillId="0" borderId="8" xfId="0" applyNumberFormat="1" applyFont="1" applyBorder="1" applyAlignment="1">
      <alignment horizontal="right" vertical="center" wrapText="1"/>
    </xf>
    <xf numFmtId="9" fontId="7" fillId="0" borderId="8" xfId="0" applyNumberFormat="1" applyFont="1" applyBorder="1" applyAlignment="1">
      <alignment horizontal="right" vertical="center" wrapText="1"/>
    </xf>
    <xf numFmtId="0" fontId="1" fillId="5" borderId="8" xfId="0" applyFont="1" applyFill="1" applyBorder="1" applyAlignment="1">
      <alignment horizontal="left" vertical="center"/>
    </xf>
    <xf numFmtId="14" fontId="1" fillId="0" borderId="8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1" fillId="5" borderId="8" xfId="0" applyFont="1" applyFill="1" applyBorder="1" applyAlignment="1">
      <alignment horizontal="left" vertical="center" wrapText="1"/>
    </xf>
    <xf numFmtId="9" fontId="1" fillId="0" borderId="8" xfId="0" applyNumberFormat="1" applyFont="1" applyBorder="1" applyAlignment="1">
      <alignment horizontal="right" vertical="center" wrapText="1"/>
    </xf>
    <xf numFmtId="17" fontId="1" fillId="0" borderId="8" xfId="0" applyNumberFormat="1" applyFont="1" applyBorder="1" applyAlignment="1">
      <alignment horizontal="right" vertical="center"/>
    </xf>
    <xf numFmtId="9" fontId="4" fillId="0" borderId="8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9" fontId="1" fillId="0" borderId="8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right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 wrapText="1"/>
    </xf>
    <xf numFmtId="9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right" vertical="center" wrapText="1"/>
    </xf>
    <xf numFmtId="165" fontId="1" fillId="0" borderId="8" xfId="0" applyNumberFormat="1" applyFont="1" applyBorder="1" applyAlignment="1">
      <alignment horizontal="right" vertical="center" wrapText="1"/>
    </xf>
    <xf numFmtId="9" fontId="4" fillId="0" borderId="8" xfId="0" applyNumberFormat="1" applyFont="1" applyBorder="1" applyAlignment="1">
      <alignment horizontal="center" vertical="center" wrapText="1"/>
    </xf>
    <xf numFmtId="9" fontId="1" fillId="0" borderId="9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9" fontId="4" fillId="0" borderId="8" xfId="0" applyNumberFormat="1" applyFont="1" applyBorder="1" applyAlignment="1">
      <alignment horizontal="center" vertical="center"/>
    </xf>
    <xf numFmtId="9" fontId="1" fillId="0" borderId="9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right" vertical="center" wrapText="1"/>
    </xf>
    <xf numFmtId="0" fontId="1" fillId="0" borderId="14" xfId="0" applyFont="1" applyBorder="1" applyAlignment="1">
      <alignment horizontal="right" vertical="center"/>
    </xf>
    <xf numFmtId="165" fontId="1" fillId="0" borderId="14" xfId="0" applyNumberFormat="1" applyFont="1" applyBorder="1" applyAlignment="1">
      <alignment horizontal="right" vertical="center"/>
    </xf>
    <xf numFmtId="0" fontId="1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27" xfId="0" applyFont="1" applyBorder="1" applyAlignment="1">
      <alignment horizontal="right" vertical="center"/>
    </xf>
    <xf numFmtId="0" fontId="1" fillId="0" borderId="29" xfId="0" applyFont="1" applyBorder="1" applyAlignment="1">
      <alignment horizontal="center" vertical="center"/>
    </xf>
    <xf numFmtId="0" fontId="10" fillId="0" borderId="8" xfId="0" applyFont="1" applyBorder="1" applyAlignment="1">
      <alignment horizontal="right" vertical="center" wrapText="1"/>
    </xf>
    <xf numFmtId="0" fontId="12" fillId="0" borderId="8" xfId="0" applyFont="1" applyBorder="1" applyAlignment="1">
      <alignment horizontal="right" vertical="center" wrapText="1"/>
    </xf>
    <xf numFmtId="9" fontId="4" fillId="0" borderId="8" xfId="0" applyNumberFormat="1" applyFont="1" applyFill="1" applyBorder="1" applyAlignment="1">
      <alignment horizontal="center" vertical="center" wrapText="1"/>
    </xf>
    <xf numFmtId="9" fontId="4" fillId="0" borderId="8" xfId="0" applyNumberFormat="1" applyFont="1" applyFill="1" applyBorder="1" applyAlignment="1">
      <alignment horizontal="center" vertical="center"/>
    </xf>
    <xf numFmtId="9" fontId="4" fillId="0" borderId="14" xfId="0" applyNumberFormat="1" applyFont="1" applyFill="1" applyBorder="1" applyAlignment="1">
      <alignment horizontal="center" vertical="center"/>
    </xf>
    <xf numFmtId="165" fontId="1" fillId="6" borderId="8" xfId="0" applyNumberFormat="1" applyFont="1" applyFill="1" applyBorder="1" applyAlignment="1">
      <alignment horizontal="right" vertical="center"/>
    </xf>
    <xf numFmtId="165" fontId="1" fillId="6" borderId="14" xfId="0" applyNumberFormat="1" applyFont="1" applyFill="1" applyBorder="1" applyAlignment="1">
      <alignment horizontal="right" vertical="center"/>
    </xf>
    <xf numFmtId="165" fontId="1" fillId="7" borderId="8" xfId="0" applyNumberFormat="1" applyFont="1" applyFill="1" applyBorder="1" applyAlignment="1">
      <alignment horizontal="right" vertical="center" wrapText="1"/>
    </xf>
    <xf numFmtId="165" fontId="1" fillId="7" borderId="8" xfId="0" applyNumberFormat="1" applyFont="1" applyFill="1" applyBorder="1" applyAlignment="1">
      <alignment horizontal="right" vertical="center"/>
    </xf>
    <xf numFmtId="165" fontId="1" fillId="7" borderId="14" xfId="0" applyNumberFormat="1" applyFont="1" applyFill="1" applyBorder="1" applyAlignment="1">
      <alignment horizontal="right" vertical="center"/>
    </xf>
    <xf numFmtId="0" fontId="0" fillId="0" borderId="0" xfId="0" applyFont="1" applyAlignment="1">
      <alignment vertical="center"/>
    </xf>
    <xf numFmtId="0" fontId="14" fillId="0" borderId="12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5" fillId="0" borderId="31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horizontal="center" vertical="center" wrapText="1"/>
    </xf>
    <xf numFmtId="0" fontId="16" fillId="0" borderId="30" xfId="0" applyFont="1" applyFill="1" applyBorder="1" applyAlignment="1">
      <alignment horizontal="center" vertical="center" wrapText="1"/>
    </xf>
    <xf numFmtId="0" fontId="16" fillId="0" borderId="30" xfId="0" applyFont="1" applyFill="1" applyBorder="1" applyAlignment="1">
      <alignment horizontal="center" wrapText="1"/>
    </xf>
    <xf numFmtId="0" fontId="16" fillId="0" borderId="34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vertical="center"/>
    </xf>
    <xf numFmtId="0" fontId="15" fillId="0" borderId="30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right" vertical="center" wrapText="1"/>
    </xf>
    <xf numFmtId="165" fontId="15" fillId="0" borderId="30" xfId="0" applyNumberFormat="1" applyFont="1" applyBorder="1" applyAlignment="1">
      <alignment horizontal="right" vertical="center" wrapText="1"/>
    </xf>
    <xf numFmtId="165" fontId="15" fillId="7" borderId="30" xfId="0" applyNumberFormat="1" applyFont="1" applyFill="1" applyBorder="1" applyAlignment="1">
      <alignment horizontal="right" vertical="center" wrapText="1"/>
    </xf>
    <xf numFmtId="9" fontId="16" fillId="0" borderId="34" xfId="0" applyNumberFormat="1" applyFont="1" applyFill="1" applyBorder="1" applyAlignment="1">
      <alignment horizontal="center" vertical="center" wrapText="1"/>
    </xf>
    <xf numFmtId="9" fontId="16" fillId="0" borderId="34" xfId="0" applyNumberFormat="1" applyFont="1" applyBorder="1" applyAlignment="1">
      <alignment horizontal="center" vertical="center" wrapText="1"/>
    </xf>
    <xf numFmtId="0" fontId="15" fillId="0" borderId="30" xfId="0" applyFont="1" applyBorder="1" applyAlignment="1">
      <alignment horizontal="left" vertical="center"/>
    </xf>
    <xf numFmtId="0" fontId="15" fillId="0" borderId="30" xfId="0" applyFont="1" applyBorder="1" applyAlignment="1">
      <alignment horizontal="right" vertical="center"/>
    </xf>
    <xf numFmtId="165" fontId="15" fillId="0" borderId="30" xfId="0" applyNumberFormat="1" applyFont="1" applyBorder="1" applyAlignment="1">
      <alignment horizontal="right" vertical="center"/>
    </xf>
    <xf numFmtId="165" fontId="15" fillId="7" borderId="30" xfId="0" applyNumberFormat="1" applyFont="1" applyFill="1" applyBorder="1" applyAlignment="1">
      <alignment horizontal="right" vertical="center"/>
    </xf>
    <xf numFmtId="9" fontId="16" fillId="0" borderId="34" xfId="0" applyNumberFormat="1" applyFont="1" applyFill="1" applyBorder="1" applyAlignment="1">
      <alignment horizontal="center" vertical="center"/>
    </xf>
    <xf numFmtId="9" fontId="16" fillId="0" borderId="34" xfId="0" applyNumberFormat="1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left" vertical="center"/>
    </xf>
    <xf numFmtId="0" fontId="15" fillId="0" borderId="36" xfId="0" applyFont="1" applyBorder="1" applyAlignment="1">
      <alignment horizontal="right" vertical="center" wrapText="1"/>
    </xf>
    <xf numFmtId="0" fontId="15" fillId="0" borderId="36" xfId="0" applyFont="1" applyBorder="1" applyAlignment="1">
      <alignment horizontal="right" vertical="center"/>
    </xf>
    <xf numFmtId="165" fontId="15" fillId="0" borderId="36" xfId="0" applyNumberFormat="1" applyFont="1" applyBorder="1" applyAlignment="1">
      <alignment horizontal="right" vertical="center"/>
    </xf>
    <xf numFmtId="165" fontId="15" fillId="7" borderId="36" xfId="0" applyNumberFormat="1" applyFont="1" applyFill="1" applyBorder="1" applyAlignment="1">
      <alignment horizontal="right" vertical="center"/>
    </xf>
    <xf numFmtId="9" fontId="16" fillId="0" borderId="37" xfId="0" applyNumberFormat="1" applyFont="1" applyFill="1" applyBorder="1" applyAlignment="1">
      <alignment horizontal="center" vertical="center"/>
    </xf>
    <xf numFmtId="165" fontId="17" fillId="6" borderId="30" xfId="0" applyNumberFormat="1" applyFont="1" applyFill="1" applyBorder="1" applyAlignment="1">
      <alignment horizontal="right" vertical="center"/>
    </xf>
    <xf numFmtId="0" fontId="14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vertical="center"/>
    </xf>
    <xf numFmtId="0" fontId="17" fillId="0" borderId="33" xfId="0" applyFont="1" applyBorder="1" applyAlignment="1">
      <alignment horizontal="center" vertical="center"/>
    </xf>
    <xf numFmtId="0" fontId="17" fillId="0" borderId="30" xfId="0" applyFont="1" applyBorder="1" applyAlignment="1">
      <alignment horizontal="left" vertical="center"/>
    </xf>
    <xf numFmtId="0" fontId="17" fillId="0" borderId="30" xfId="0" applyFont="1" applyBorder="1" applyAlignment="1">
      <alignment horizontal="right" vertical="center" wrapText="1"/>
    </xf>
    <xf numFmtId="0" fontId="17" fillId="0" borderId="30" xfId="0" applyFont="1" applyBorder="1" applyAlignment="1">
      <alignment horizontal="right" vertical="center"/>
    </xf>
    <xf numFmtId="165" fontId="17" fillId="0" borderId="30" xfId="0" applyNumberFormat="1" applyFont="1" applyBorder="1" applyAlignment="1">
      <alignment horizontal="right" vertical="center"/>
    </xf>
    <xf numFmtId="165" fontId="17" fillId="7" borderId="30" xfId="0" applyNumberFormat="1" applyFont="1" applyFill="1" applyBorder="1" applyAlignment="1">
      <alignment horizontal="right" vertical="center"/>
    </xf>
    <xf numFmtId="9" fontId="18" fillId="0" borderId="34" xfId="0" applyNumberFormat="1" applyFont="1" applyFill="1" applyBorder="1" applyAlignment="1">
      <alignment horizontal="center" vertical="center"/>
    </xf>
    <xf numFmtId="0" fontId="19" fillId="0" borderId="12" xfId="0" applyFont="1" applyBorder="1" applyAlignment="1">
      <alignment horizontal="right" vertical="center"/>
    </xf>
    <xf numFmtId="0" fontId="20" fillId="0" borderId="30" xfId="0" applyFont="1" applyFill="1" applyBorder="1" applyAlignment="1">
      <alignment horizontal="center" vertical="center" wrapText="1"/>
    </xf>
    <xf numFmtId="165" fontId="19" fillId="6" borderId="30" xfId="0" applyNumberFormat="1" applyFont="1" applyFill="1" applyBorder="1" applyAlignment="1">
      <alignment horizontal="right" vertical="center"/>
    </xf>
    <xf numFmtId="165" fontId="19" fillId="6" borderId="36" xfId="0" applyNumberFormat="1" applyFont="1" applyFill="1" applyBorder="1" applyAlignment="1">
      <alignment horizontal="right" vertical="center"/>
    </xf>
    <xf numFmtId="0" fontId="19" fillId="0" borderId="12" xfId="0" applyFont="1" applyBorder="1" applyAlignment="1">
      <alignment vertical="center"/>
    </xf>
    <xf numFmtId="166" fontId="14" fillId="0" borderId="12" xfId="1" applyNumberFormat="1" applyFont="1" applyBorder="1" applyAlignment="1">
      <alignment horizontal="center" vertical="center"/>
    </xf>
    <xf numFmtId="0" fontId="16" fillId="0" borderId="38" xfId="0" applyFont="1" applyFill="1" applyBorder="1" applyAlignment="1">
      <alignment horizontal="center" vertical="center" wrapText="1"/>
    </xf>
    <xf numFmtId="9" fontId="16" fillId="0" borderId="12" xfId="0" applyNumberFormat="1" applyFont="1" applyFill="1" applyBorder="1" applyAlignment="1">
      <alignment horizontal="center" vertical="center" wrapText="1"/>
    </xf>
    <xf numFmtId="9" fontId="16" fillId="0" borderId="12" xfId="0" applyNumberFormat="1" applyFont="1" applyBorder="1" applyAlignment="1">
      <alignment horizontal="center" vertical="center" wrapText="1"/>
    </xf>
    <xf numFmtId="9" fontId="18" fillId="0" borderId="12" xfId="0" applyNumberFormat="1" applyFont="1" applyFill="1" applyBorder="1" applyAlignment="1">
      <alignment horizontal="center" vertical="center"/>
    </xf>
    <xf numFmtId="9" fontId="16" fillId="0" borderId="12" xfId="0" applyNumberFormat="1" applyFont="1" applyBorder="1" applyAlignment="1">
      <alignment horizontal="center" vertical="center"/>
    </xf>
    <xf numFmtId="9" fontId="16" fillId="0" borderId="12" xfId="0" applyNumberFormat="1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66" fontId="14" fillId="0" borderId="30" xfId="1" applyNumberFormat="1" applyFont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 wrapText="1"/>
    </xf>
    <xf numFmtId="166" fontId="14" fillId="0" borderId="30" xfId="1" applyNumberFormat="1" applyFont="1" applyFill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166" fontId="17" fillId="0" borderId="30" xfId="1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5" fontId="15" fillId="6" borderId="33" xfId="0" applyNumberFormat="1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 wrapText="1"/>
    </xf>
    <xf numFmtId="166" fontId="14" fillId="0" borderId="34" xfId="1" applyNumberFormat="1" applyFont="1" applyBorder="1" applyAlignment="1">
      <alignment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166" fontId="14" fillId="0" borderId="36" xfId="1" applyNumberFormat="1" applyFont="1" applyBorder="1" applyAlignment="1">
      <alignment horizontal="center" vertical="center"/>
    </xf>
    <xf numFmtId="166" fontId="14" fillId="0" borderId="37" xfId="1" applyNumberFormat="1" applyFont="1" applyBorder="1" applyAlignment="1">
      <alignment vertical="center"/>
    </xf>
    <xf numFmtId="0" fontId="15" fillId="0" borderId="12" xfId="0" applyFont="1" applyFill="1" applyBorder="1" applyAlignment="1">
      <alignment horizontal="right" vertical="center"/>
    </xf>
    <xf numFmtId="0" fontId="19" fillId="0" borderId="12" xfId="0" applyFont="1" applyFill="1" applyBorder="1" applyAlignment="1">
      <alignment horizontal="right" vertical="center"/>
    </xf>
    <xf numFmtId="0" fontId="15" fillId="0" borderId="12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vertical="center"/>
    </xf>
    <xf numFmtId="9" fontId="20" fillId="0" borderId="34" xfId="0" applyNumberFormat="1" applyFont="1" applyFill="1" applyBorder="1" applyAlignment="1">
      <alignment horizontal="center" vertical="center"/>
    </xf>
    <xf numFmtId="0" fontId="20" fillId="0" borderId="38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0" fontId="16" fillId="0" borderId="49" xfId="0" applyFont="1" applyFill="1" applyBorder="1" applyAlignment="1">
      <alignment vertical="center"/>
    </xf>
    <xf numFmtId="0" fontId="16" fillId="0" borderId="50" xfId="0" applyFont="1" applyFill="1" applyBorder="1" applyAlignment="1">
      <alignment vertical="center"/>
    </xf>
    <xf numFmtId="0" fontId="16" fillId="0" borderId="43" xfId="0" applyFont="1" applyFill="1" applyBorder="1" applyAlignment="1">
      <alignment vertical="center"/>
    </xf>
    <xf numFmtId="0" fontId="16" fillId="0" borderId="42" xfId="0" applyFont="1" applyFill="1" applyBorder="1" applyAlignment="1">
      <alignment vertical="center"/>
    </xf>
    <xf numFmtId="0" fontId="16" fillId="0" borderId="33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 wrapText="1"/>
    </xf>
    <xf numFmtId="0" fontId="16" fillId="0" borderId="30" xfId="0" applyFont="1" applyBorder="1" applyAlignment="1">
      <alignment horizontal="right" vertical="center" wrapText="1"/>
    </xf>
    <xf numFmtId="165" fontId="16" fillId="0" borderId="30" xfId="0" applyNumberFormat="1" applyFont="1" applyBorder="1" applyAlignment="1">
      <alignment horizontal="right" vertical="center" wrapText="1"/>
    </xf>
    <xf numFmtId="165" fontId="16" fillId="0" borderId="30" xfId="0" applyNumberFormat="1" applyFont="1" applyFill="1" applyBorder="1" applyAlignment="1">
      <alignment horizontal="right" vertical="center" wrapText="1"/>
    </xf>
    <xf numFmtId="165" fontId="20" fillId="0" borderId="38" xfId="0" applyNumberFormat="1" applyFont="1" applyFill="1" applyBorder="1" applyAlignment="1">
      <alignment horizontal="right" vertical="center"/>
    </xf>
    <xf numFmtId="165" fontId="20" fillId="0" borderId="44" xfId="0" applyNumberFormat="1" applyFont="1" applyFill="1" applyBorder="1" applyAlignment="1">
      <alignment horizontal="right" vertical="center"/>
    </xf>
    <xf numFmtId="165" fontId="20" fillId="0" borderId="34" xfId="0" applyNumberFormat="1" applyFont="1" applyFill="1" applyBorder="1" applyAlignment="1">
      <alignment horizontal="right" vertical="center"/>
    </xf>
    <xf numFmtId="0" fontId="18" fillId="0" borderId="33" xfId="0" applyFont="1" applyBorder="1" applyAlignment="1">
      <alignment horizontal="center" vertical="center"/>
    </xf>
    <xf numFmtId="0" fontId="20" fillId="0" borderId="30" xfId="0" applyFont="1" applyBorder="1" applyAlignment="1">
      <alignment horizontal="left" vertical="center"/>
    </xf>
    <xf numFmtId="0" fontId="20" fillId="0" borderId="30" xfId="0" applyFont="1" applyBorder="1" applyAlignment="1">
      <alignment horizontal="right" vertical="center" wrapText="1"/>
    </xf>
    <xf numFmtId="0" fontId="20" fillId="0" borderId="30" xfId="0" applyFont="1" applyBorder="1" applyAlignment="1">
      <alignment horizontal="right" vertical="center"/>
    </xf>
    <xf numFmtId="165" fontId="20" fillId="0" borderId="30" xfId="0" applyNumberFormat="1" applyFont="1" applyBorder="1" applyAlignment="1">
      <alignment horizontal="right" vertical="center"/>
    </xf>
    <xf numFmtId="165" fontId="20" fillId="0" borderId="30" xfId="0" applyNumberFormat="1" applyFont="1" applyFill="1" applyBorder="1" applyAlignment="1">
      <alignment horizontal="right" vertical="center"/>
    </xf>
    <xf numFmtId="0" fontId="16" fillId="0" borderId="30" xfId="0" applyFont="1" applyBorder="1" applyAlignment="1">
      <alignment horizontal="left" vertical="center"/>
    </xf>
    <xf numFmtId="0" fontId="16" fillId="0" borderId="30" xfId="0" applyFont="1" applyBorder="1" applyAlignment="1">
      <alignment horizontal="right" vertical="center"/>
    </xf>
    <xf numFmtId="165" fontId="16" fillId="0" borderId="30" xfId="0" applyNumberFormat="1" applyFont="1" applyBorder="1" applyAlignment="1">
      <alignment horizontal="right" vertical="center"/>
    </xf>
    <xf numFmtId="165" fontId="16" fillId="0" borderId="30" xfId="0" applyNumberFormat="1" applyFont="1" applyFill="1" applyBorder="1" applyAlignment="1">
      <alignment horizontal="right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left" vertical="center"/>
    </xf>
    <xf numFmtId="0" fontId="16" fillId="0" borderId="36" xfId="0" applyFont="1" applyBorder="1" applyAlignment="1">
      <alignment horizontal="right" vertical="center" wrapText="1"/>
    </xf>
    <xf numFmtId="0" fontId="16" fillId="0" borderId="36" xfId="0" applyFont="1" applyBorder="1" applyAlignment="1">
      <alignment horizontal="right" vertical="center"/>
    </xf>
    <xf numFmtId="165" fontId="16" fillId="0" borderId="36" xfId="0" applyNumberFormat="1" applyFont="1" applyBorder="1" applyAlignment="1">
      <alignment horizontal="right" vertical="center"/>
    </xf>
    <xf numFmtId="165" fontId="16" fillId="0" borderId="36" xfId="0" applyNumberFormat="1" applyFont="1" applyFill="1" applyBorder="1" applyAlignment="1">
      <alignment horizontal="right" vertical="center"/>
    </xf>
    <xf numFmtId="165" fontId="20" fillId="0" borderId="47" xfId="0" applyNumberFormat="1" applyFont="1" applyFill="1" applyBorder="1" applyAlignment="1">
      <alignment horizontal="right" vertical="center"/>
    </xf>
    <xf numFmtId="165" fontId="20" fillId="0" borderId="53" xfId="0" applyNumberFormat="1" applyFont="1" applyFill="1" applyBorder="1" applyAlignment="1">
      <alignment horizontal="right" vertical="center"/>
    </xf>
    <xf numFmtId="165" fontId="20" fillId="0" borderId="37" xfId="0" applyNumberFormat="1" applyFont="1" applyFill="1" applyBorder="1" applyAlignment="1">
      <alignment horizontal="right" vertical="center"/>
    </xf>
    <xf numFmtId="0" fontId="23" fillId="0" borderId="31" xfId="0" applyFont="1" applyBorder="1" applyAlignment="1">
      <alignment vertical="center"/>
    </xf>
    <xf numFmtId="0" fontId="23" fillId="0" borderId="33" xfId="0" applyFont="1" applyBorder="1" applyAlignment="1">
      <alignment vertical="center"/>
    </xf>
    <xf numFmtId="0" fontId="23" fillId="0" borderId="35" xfId="0" applyFont="1" applyBorder="1" applyAlignment="1">
      <alignment vertical="center"/>
    </xf>
    <xf numFmtId="0" fontId="17" fillId="0" borderId="12" xfId="0" applyFont="1" applyFill="1" applyBorder="1" applyAlignment="1">
      <alignment horizontal="center" vertical="center"/>
    </xf>
    <xf numFmtId="0" fontId="18" fillId="0" borderId="49" xfId="0" applyFont="1" applyFill="1" applyBorder="1" applyAlignment="1">
      <alignment vertical="center"/>
    </xf>
    <xf numFmtId="9" fontId="18" fillId="0" borderId="51" xfId="0" applyNumberFormat="1" applyFont="1" applyFill="1" applyBorder="1" applyAlignment="1">
      <alignment horizontal="center" vertical="center" wrapText="1"/>
    </xf>
    <xf numFmtId="9" fontId="18" fillId="0" borderId="51" xfId="0" applyNumberFormat="1" applyFont="1" applyFill="1" applyBorder="1" applyAlignment="1">
      <alignment horizontal="center" vertical="center"/>
    </xf>
    <xf numFmtId="9" fontId="18" fillId="0" borderId="52" xfId="0" applyNumberFormat="1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vertical="center"/>
    </xf>
    <xf numFmtId="0" fontId="16" fillId="0" borderId="45" xfId="0" applyFont="1" applyFill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/>
    </xf>
    <xf numFmtId="1" fontId="14" fillId="0" borderId="30" xfId="0" applyNumberFormat="1" applyFont="1" applyBorder="1" applyAlignment="1">
      <alignment horizontal="center" vertical="center"/>
    </xf>
    <xf numFmtId="3" fontId="20" fillId="0" borderId="51" xfId="0" applyNumberFormat="1" applyFont="1" applyFill="1" applyBorder="1" applyAlignment="1">
      <alignment horizontal="center" vertical="center"/>
    </xf>
    <xf numFmtId="3" fontId="20" fillId="0" borderId="52" xfId="0" applyNumberFormat="1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4" xfId="0" applyFont="1" applyFill="1" applyBorder="1" applyAlignment="1">
      <alignment horizontal="center" vertical="center" wrapText="1"/>
    </xf>
    <xf numFmtId="0" fontId="16" fillId="0" borderId="61" xfId="0" applyFont="1" applyFill="1" applyBorder="1" applyAlignment="1">
      <alignment vertical="center"/>
    </xf>
    <xf numFmtId="0" fontId="16" fillId="0" borderId="62" xfId="0" applyFont="1" applyBorder="1" applyAlignment="1">
      <alignment horizontal="left" vertical="center" wrapText="1"/>
    </xf>
    <xf numFmtId="0" fontId="16" fillId="0" borderId="62" xfId="0" applyFont="1" applyBorder="1" applyAlignment="1">
      <alignment horizontal="right" vertical="center" wrapText="1"/>
    </xf>
    <xf numFmtId="165" fontId="16" fillId="0" borderId="62" xfId="0" applyNumberFormat="1" applyFont="1" applyBorder="1" applyAlignment="1">
      <alignment horizontal="right" vertical="center" wrapText="1"/>
    </xf>
    <xf numFmtId="165" fontId="16" fillId="0" borderId="62" xfId="0" applyNumberFormat="1" applyFont="1" applyFill="1" applyBorder="1" applyAlignment="1">
      <alignment horizontal="right" vertical="center" wrapText="1"/>
    </xf>
    <xf numFmtId="165" fontId="20" fillId="0" borderId="63" xfId="0" applyNumberFormat="1" applyFont="1" applyFill="1" applyBorder="1" applyAlignment="1">
      <alignment horizontal="right" vertical="center"/>
    </xf>
    <xf numFmtId="3" fontId="20" fillId="0" borderId="56" xfId="0" applyNumberFormat="1" applyFont="1" applyFill="1" applyBorder="1" applyAlignment="1">
      <alignment horizontal="center" vertical="center"/>
    </xf>
    <xf numFmtId="0" fontId="16" fillId="0" borderId="65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>
      <alignment horizontal="center" vertical="center" wrapText="1"/>
    </xf>
    <xf numFmtId="0" fontId="20" fillId="0" borderId="67" xfId="0" applyFont="1" applyFill="1" applyBorder="1" applyAlignment="1">
      <alignment horizontal="center" vertical="center" wrapText="1"/>
    </xf>
    <xf numFmtId="165" fontId="20" fillId="0" borderId="73" xfId="0" applyNumberFormat="1" applyFont="1" applyFill="1" applyBorder="1" applyAlignment="1">
      <alignment horizontal="right" vertical="center"/>
    </xf>
    <xf numFmtId="165" fontId="20" fillId="0" borderId="57" xfId="0" applyNumberFormat="1" applyFont="1" applyFill="1" applyBorder="1" applyAlignment="1">
      <alignment horizontal="right" vertical="center"/>
    </xf>
    <xf numFmtId="0" fontId="21" fillId="0" borderId="68" xfId="0" applyFont="1" applyFill="1" applyBorder="1" applyAlignment="1">
      <alignment horizontal="center" vertical="center" wrapText="1"/>
    </xf>
    <xf numFmtId="0" fontId="22" fillId="0" borderId="74" xfId="0" applyFont="1" applyFill="1" applyBorder="1" applyAlignment="1">
      <alignment horizontal="center" vertical="center" wrapText="1"/>
    </xf>
    <xf numFmtId="0" fontId="22" fillId="0" borderId="70" xfId="0" applyFont="1" applyFill="1" applyBorder="1" applyAlignment="1">
      <alignment horizontal="center" vertical="center" wrapText="1"/>
    </xf>
    <xf numFmtId="0" fontId="20" fillId="0" borderId="58" xfId="0" applyFont="1" applyFill="1" applyBorder="1" applyAlignment="1">
      <alignment horizontal="center" vertical="center" wrapText="1"/>
    </xf>
    <xf numFmtId="0" fontId="20" fillId="0" borderId="74" xfId="0" applyFont="1" applyFill="1" applyBorder="1" applyAlignment="1">
      <alignment horizontal="center" vertical="center" wrapText="1"/>
    </xf>
    <xf numFmtId="9" fontId="18" fillId="0" borderId="56" xfId="0" applyNumberFormat="1" applyFont="1" applyFill="1" applyBorder="1" applyAlignment="1">
      <alignment horizontal="center" vertical="center" wrapText="1"/>
    </xf>
    <xf numFmtId="9" fontId="16" fillId="0" borderId="57" xfId="0" applyNumberFormat="1" applyFont="1" applyFill="1" applyBorder="1" applyAlignment="1">
      <alignment horizontal="center" vertical="center" wrapText="1"/>
    </xf>
    <xf numFmtId="0" fontId="18" fillId="0" borderId="48" xfId="0" applyFont="1" applyFill="1" applyBorder="1" applyAlignment="1">
      <alignment horizontal="center" vertical="center" wrapText="1"/>
    </xf>
    <xf numFmtId="0" fontId="16" fillId="0" borderId="74" xfId="0" applyFont="1" applyFill="1" applyBorder="1" applyAlignment="1">
      <alignment horizontal="center" vertical="center" wrapText="1"/>
    </xf>
    <xf numFmtId="0" fontId="16" fillId="0" borderId="78" xfId="0" applyFont="1" applyFill="1" applyBorder="1" applyAlignment="1">
      <alignment horizontal="center" vertical="center" wrapText="1"/>
    </xf>
    <xf numFmtId="3" fontId="20" fillId="0" borderId="30" xfId="0" applyNumberFormat="1" applyFont="1" applyFill="1" applyBorder="1" applyAlignment="1">
      <alignment horizontal="center" vertical="center"/>
    </xf>
    <xf numFmtId="9" fontId="18" fillId="0" borderId="30" xfId="0" applyNumberFormat="1" applyFont="1" applyFill="1" applyBorder="1" applyAlignment="1">
      <alignment horizontal="center" vertical="center" wrapText="1"/>
    </xf>
    <xf numFmtId="9" fontId="16" fillId="0" borderId="30" xfId="0" applyNumberFormat="1" applyFont="1" applyFill="1" applyBorder="1" applyAlignment="1">
      <alignment horizontal="center" vertical="center" wrapText="1"/>
    </xf>
    <xf numFmtId="9" fontId="18" fillId="0" borderId="30" xfId="0" applyNumberFormat="1" applyFont="1" applyFill="1" applyBorder="1" applyAlignment="1">
      <alignment horizontal="center" vertical="center"/>
    </xf>
    <xf numFmtId="9" fontId="20" fillId="0" borderId="30" xfId="0" applyNumberFormat="1" applyFont="1" applyFill="1" applyBorder="1" applyAlignment="1">
      <alignment horizontal="center" vertical="center"/>
    </xf>
    <xf numFmtId="9" fontId="16" fillId="0" borderId="30" xfId="0" applyNumberFormat="1" applyFont="1" applyFill="1" applyBorder="1" applyAlignment="1">
      <alignment horizontal="center" vertical="center"/>
    </xf>
    <xf numFmtId="0" fontId="16" fillId="0" borderId="32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right" vertical="center" wrapText="1"/>
    </xf>
    <xf numFmtId="165" fontId="16" fillId="0" borderId="32" xfId="0" applyNumberFormat="1" applyFont="1" applyBorder="1" applyAlignment="1">
      <alignment horizontal="right" vertical="center" wrapText="1"/>
    </xf>
    <xf numFmtId="165" fontId="16" fillId="0" borderId="32" xfId="0" applyNumberFormat="1" applyFont="1" applyFill="1" applyBorder="1" applyAlignment="1">
      <alignment horizontal="right" vertical="center" wrapText="1"/>
    </xf>
    <xf numFmtId="165" fontId="20" fillId="0" borderId="32" xfId="0" applyNumberFormat="1" applyFont="1" applyFill="1" applyBorder="1" applyAlignment="1">
      <alignment horizontal="right" vertical="center"/>
    </xf>
    <xf numFmtId="3" fontId="20" fillId="0" borderId="32" xfId="0" applyNumberFormat="1" applyFont="1" applyFill="1" applyBorder="1" applyAlignment="1">
      <alignment horizontal="center" vertical="center"/>
    </xf>
    <xf numFmtId="9" fontId="18" fillId="0" borderId="32" xfId="0" applyNumberFormat="1" applyFont="1" applyFill="1" applyBorder="1" applyAlignment="1">
      <alignment horizontal="center" vertical="center" wrapText="1"/>
    </xf>
    <xf numFmtId="9" fontId="16" fillId="0" borderId="32" xfId="0" applyNumberFormat="1" applyFont="1" applyFill="1" applyBorder="1" applyAlignment="1">
      <alignment horizontal="center" vertical="center" wrapText="1"/>
    </xf>
    <xf numFmtId="165" fontId="20" fillId="0" borderId="54" xfId="0" applyNumberFormat="1" applyFont="1" applyFill="1" applyBorder="1" applyAlignment="1">
      <alignment horizontal="right" vertical="center"/>
    </xf>
    <xf numFmtId="167" fontId="20" fillId="0" borderId="3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right" vertical="center" wrapText="1"/>
    </xf>
    <xf numFmtId="0" fontId="18" fillId="0" borderId="30" xfId="0" applyFont="1" applyBorder="1" applyAlignment="1">
      <alignment horizontal="left" vertical="center" wrapText="1"/>
    </xf>
    <xf numFmtId="165" fontId="18" fillId="0" borderId="30" xfId="0" applyNumberFormat="1" applyFont="1" applyBorder="1" applyAlignment="1">
      <alignment horizontal="right" vertical="center" wrapText="1"/>
    </xf>
    <xf numFmtId="165" fontId="18" fillId="0" borderId="30" xfId="0" applyNumberFormat="1" applyFont="1" applyFill="1" applyBorder="1" applyAlignment="1">
      <alignment horizontal="right" vertical="center" wrapText="1"/>
    </xf>
    <xf numFmtId="165" fontId="18" fillId="0" borderId="30" xfId="0" applyNumberFormat="1" applyFont="1" applyFill="1" applyBorder="1" applyAlignment="1">
      <alignment horizontal="right" vertical="center"/>
    </xf>
    <xf numFmtId="3" fontId="18" fillId="0" borderId="30" xfId="0" applyNumberFormat="1" applyFont="1" applyFill="1" applyBorder="1" applyAlignment="1">
      <alignment horizontal="center" vertical="center"/>
    </xf>
    <xf numFmtId="165" fontId="18" fillId="0" borderId="34" xfId="0" applyNumberFormat="1" applyFont="1" applyFill="1" applyBorder="1" applyAlignment="1">
      <alignment horizontal="right" vertical="center"/>
    </xf>
    <xf numFmtId="167" fontId="20" fillId="0" borderId="30" xfId="0" applyNumberFormat="1" applyFont="1" applyFill="1" applyBorder="1" applyAlignment="1">
      <alignment horizontal="center" vertical="center"/>
    </xf>
    <xf numFmtId="167" fontId="18" fillId="0" borderId="30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24" fillId="8" borderId="49" xfId="0" applyFont="1" applyFill="1" applyBorder="1" applyAlignment="1">
      <alignment vertical="center"/>
    </xf>
    <xf numFmtId="0" fontId="24" fillId="8" borderId="43" xfId="0" applyFont="1" applyFill="1" applyBorder="1" applyAlignment="1">
      <alignment vertical="center"/>
    </xf>
    <xf numFmtId="0" fontId="24" fillId="8" borderId="42" xfId="0" applyFont="1" applyFill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4" fillId="0" borderId="79" xfId="0" applyFont="1" applyFill="1" applyBorder="1" applyAlignment="1">
      <alignment horizontal="center" vertical="center" wrapText="1"/>
    </xf>
    <xf numFmtId="0" fontId="24" fillId="0" borderId="75" xfId="0" applyFont="1" applyFill="1" applyBorder="1" applyAlignment="1">
      <alignment horizontal="center" vertical="center" wrapText="1"/>
    </xf>
    <xf numFmtId="0" fontId="24" fillId="9" borderId="75" xfId="0" applyFont="1" applyFill="1" applyBorder="1" applyAlignment="1">
      <alignment horizontal="center" vertical="center" wrapText="1"/>
    </xf>
    <xf numFmtId="0" fontId="26" fillId="9" borderId="76" xfId="0" applyFont="1" applyFill="1" applyBorder="1" applyAlignment="1">
      <alignment horizontal="center" vertical="center" wrapText="1"/>
    </xf>
    <xf numFmtId="0" fontId="27" fillId="9" borderId="55" xfId="0" applyFont="1" applyFill="1" applyBorder="1" applyAlignment="1">
      <alignment horizontal="center" vertical="center" wrapText="1"/>
    </xf>
    <xf numFmtId="0" fontId="24" fillId="9" borderId="80" xfId="0" applyFont="1" applyFill="1" applyBorder="1" applyAlignment="1">
      <alignment horizontal="center" vertical="center" wrapText="1"/>
    </xf>
    <xf numFmtId="0" fontId="24" fillId="9" borderId="81" xfId="0" applyFont="1" applyFill="1" applyBorder="1" applyAlignment="1">
      <alignment horizontal="center" vertical="center" wrapText="1"/>
    </xf>
    <xf numFmtId="0" fontId="26" fillId="9" borderId="80" xfId="0" applyFont="1" applyFill="1" applyBorder="1" applyAlignment="1">
      <alignment horizontal="center" vertical="center" wrapText="1"/>
    </xf>
    <xf numFmtId="0" fontId="26" fillId="9" borderId="61" xfId="0" applyFont="1" applyFill="1" applyBorder="1" applyAlignment="1">
      <alignment horizontal="center" vertical="center" wrapText="1"/>
    </xf>
    <xf numFmtId="0" fontId="26" fillId="9" borderId="72" xfId="0" applyFont="1" applyFill="1" applyBorder="1" applyAlignment="1">
      <alignment horizontal="center" vertical="center" wrapText="1"/>
    </xf>
    <xf numFmtId="165" fontId="20" fillId="10" borderId="30" xfId="0" applyNumberFormat="1" applyFont="1" applyFill="1" applyBorder="1" applyAlignment="1">
      <alignment horizontal="right" vertical="center"/>
    </xf>
    <xf numFmtId="0" fontId="16" fillId="0" borderId="30" xfId="0" applyFont="1" applyBorder="1" applyAlignment="1">
      <alignment horizontal="right" vertical="center" wrapText="1"/>
    </xf>
    <xf numFmtId="0" fontId="16" fillId="0" borderId="30" xfId="0" applyFont="1" applyFill="1" applyBorder="1" applyAlignment="1">
      <alignment horizontal="left" vertical="center"/>
    </xf>
    <xf numFmtId="0" fontId="16" fillId="0" borderId="30" xfId="0" applyFont="1" applyBorder="1" applyAlignment="1">
      <alignment horizontal="right" vertical="center" wrapText="1"/>
    </xf>
    <xf numFmtId="165" fontId="30" fillId="12" borderId="86" xfId="0" applyNumberFormat="1" applyFont="1" applyFill="1" applyBorder="1" applyAlignment="1">
      <alignment horizontal="right" vertical="center"/>
    </xf>
    <xf numFmtId="165" fontId="30" fillId="12" borderId="87" xfId="0" applyNumberFormat="1" applyFont="1" applyFill="1" applyBorder="1" applyAlignment="1">
      <alignment horizontal="right" vertical="center"/>
    </xf>
    <xf numFmtId="165" fontId="31" fillId="12" borderId="87" xfId="0" applyNumberFormat="1" applyFont="1" applyFill="1" applyBorder="1" applyAlignment="1">
      <alignment horizontal="right" vertical="center"/>
    </xf>
    <xf numFmtId="165" fontId="20" fillId="6" borderId="30" xfId="0" applyNumberFormat="1" applyFont="1" applyFill="1" applyBorder="1" applyAlignment="1">
      <alignment horizontal="right" vertical="center"/>
    </xf>
    <xf numFmtId="165" fontId="30" fillId="12" borderId="91" xfId="0" applyNumberFormat="1" applyFont="1" applyFill="1" applyBorder="1" applyAlignment="1">
      <alignment horizontal="right" vertical="center"/>
    </xf>
    <xf numFmtId="165" fontId="30" fillId="0" borderId="12" xfId="0" applyNumberFormat="1" applyFont="1" applyFill="1" applyBorder="1" applyAlignment="1">
      <alignment horizontal="right" vertical="center"/>
    </xf>
    <xf numFmtId="0" fontId="16" fillId="0" borderId="81" xfId="0" applyFont="1" applyBorder="1" applyAlignment="1">
      <alignment horizontal="center" vertical="center"/>
    </xf>
    <xf numFmtId="0" fontId="16" fillId="0" borderId="92" xfId="0" applyFont="1" applyBorder="1" applyAlignment="1">
      <alignment horizontal="left" vertical="center"/>
    </xf>
    <xf numFmtId="0" fontId="16" fillId="0" borderId="92" xfId="0" applyFont="1" applyBorder="1" applyAlignment="1">
      <alignment horizontal="right" vertical="center" wrapText="1"/>
    </xf>
    <xf numFmtId="0" fontId="16" fillId="0" borderId="92" xfId="0" applyFont="1" applyBorder="1" applyAlignment="1">
      <alignment horizontal="right" vertical="center"/>
    </xf>
    <xf numFmtId="165" fontId="16" fillId="0" borderId="92" xfId="0" applyNumberFormat="1" applyFont="1" applyBorder="1" applyAlignment="1">
      <alignment horizontal="right" vertical="center"/>
    </xf>
    <xf numFmtId="165" fontId="16" fillId="0" borderId="92" xfId="0" applyNumberFormat="1" applyFont="1" applyFill="1" applyBorder="1" applyAlignment="1">
      <alignment horizontal="right" vertical="center"/>
    </xf>
    <xf numFmtId="165" fontId="20" fillId="0" borderId="92" xfId="0" applyNumberFormat="1" applyFont="1" applyFill="1" applyBorder="1" applyAlignment="1">
      <alignment horizontal="right" vertical="center"/>
    </xf>
    <xf numFmtId="3" fontId="20" fillId="0" borderId="92" xfId="0" applyNumberFormat="1" applyFont="1" applyFill="1" applyBorder="1" applyAlignment="1">
      <alignment horizontal="center" vertical="center"/>
    </xf>
    <xf numFmtId="9" fontId="18" fillId="0" borderId="92" xfId="0" applyNumberFormat="1" applyFont="1" applyFill="1" applyBorder="1" applyAlignment="1">
      <alignment horizontal="center" vertical="center"/>
    </xf>
    <xf numFmtId="9" fontId="16" fillId="0" borderId="92" xfId="0" applyNumberFormat="1" applyFont="1" applyFill="1" applyBorder="1" applyAlignment="1">
      <alignment horizontal="center" vertical="center"/>
    </xf>
    <xf numFmtId="165" fontId="20" fillId="0" borderId="93" xfId="0" applyNumberFormat="1" applyFont="1" applyFill="1" applyBorder="1" applyAlignment="1">
      <alignment horizontal="right" vertical="center"/>
    </xf>
    <xf numFmtId="0" fontId="23" fillId="0" borderId="94" xfId="0" applyFont="1" applyBorder="1" applyAlignment="1">
      <alignment vertical="center"/>
    </xf>
    <xf numFmtId="0" fontId="16" fillId="0" borderId="30" xfId="0" applyFont="1" applyBorder="1" applyAlignment="1">
      <alignment horizontal="center" vertical="center"/>
    </xf>
    <xf numFmtId="165" fontId="30" fillId="12" borderId="30" xfId="0" applyNumberFormat="1" applyFont="1" applyFill="1" applyBorder="1" applyAlignment="1">
      <alignment horizontal="right" vertical="center"/>
    </xf>
    <xf numFmtId="0" fontId="14" fillId="0" borderId="30" xfId="0" applyFont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9" fillId="0" borderId="30" xfId="0" applyFont="1" applyFill="1" applyBorder="1" applyAlignment="1">
      <alignment vertical="center"/>
    </xf>
    <xf numFmtId="0" fontId="17" fillId="0" borderId="30" xfId="0" applyFont="1" applyFill="1" applyBorder="1" applyAlignment="1">
      <alignment vertical="center"/>
    </xf>
    <xf numFmtId="0" fontId="14" fillId="0" borderId="31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16" fontId="14" fillId="0" borderId="32" xfId="0" applyNumberFormat="1" applyFont="1" applyFill="1" applyBorder="1" applyAlignment="1">
      <alignment horizontal="center" vertical="center"/>
    </xf>
    <xf numFmtId="16" fontId="14" fillId="0" borderId="54" xfId="0" applyNumberFormat="1" applyFont="1" applyFill="1" applyBorder="1" applyAlignment="1">
      <alignment horizontal="center" vertical="center"/>
    </xf>
    <xf numFmtId="0" fontId="14" fillId="13" borderId="34" xfId="0" applyFont="1" applyFill="1" applyBorder="1" applyAlignment="1">
      <alignment vertical="center"/>
    </xf>
    <xf numFmtId="9" fontId="16" fillId="10" borderId="34" xfId="0" applyNumberFormat="1" applyFont="1" applyFill="1" applyBorder="1" applyAlignment="1">
      <alignment horizontal="center" vertical="center"/>
    </xf>
    <xf numFmtId="0" fontId="14" fillId="0" borderId="34" xfId="0" applyFont="1" applyBorder="1" applyAlignment="1">
      <alignment vertical="center"/>
    </xf>
    <xf numFmtId="9" fontId="16" fillId="6" borderId="34" xfId="0" applyNumberFormat="1" applyFont="1" applyFill="1" applyBorder="1" applyAlignment="1">
      <alignment horizontal="center" vertical="center"/>
    </xf>
    <xf numFmtId="9" fontId="16" fillId="6" borderId="34" xfId="0" applyNumberFormat="1" applyFont="1" applyFill="1" applyBorder="1" applyAlignment="1">
      <alignment horizontal="center" vertical="center" wrapText="1"/>
    </xf>
    <xf numFmtId="0" fontId="14" fillId="13" borderId="30" xfId="0" applyFont="1" applyFill="1" applyBorder="1" applyAlignment="1">
      <alignment vertical="center"/>
    </xf>
    <xf numFmtId="0" fontId="17" fillId="0" borderId="30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9" fontId="16" fillId="0" borderId="93" xfId="0" applyNumberFormat="1" applyFont="1" applyBorder="1" applyAlignment="1">
      <alignment horizontal="center" vertical="center"/>
    </xf>
    <xf numFmtId="0" fontId="14" fillId="0" borderId="92" xfId="0" applyFont="1" applyBorder="1" applyAlignment="1">
      <alignment vertical="center"/>
    </xf>
    <xf numFmtId="0" fontId="14" fillId="0" borderId="93" xfId="0" applyFont="1" applyBorder="1" applyAlignment="1">
      <alignment vertical="center"/>
    </xf>
    <xf numFmtId="9" fontId="16" fillId="0" borderId="30" xfId="0" applyNumberFormat="1" applyFont="1" applyBorder="1" applyAlignment="1">
      <alignment horizontal="center" vertical="center"/>
    </xf>
    <xf numFmtId="9" fontId="16" fillId="6" borderId="30" xfId="0" applyNumberFormat="1" applyFont="1" applyFill="1" applyBorder="1" applyAlignment="1">
      <alignment horizontal="center" vertical="center"/>
    </xf>
    <xf numFmtId="0" fontId="23" fillId="0" borderId="47" xfId="0" applyFont="1" applyBorder="1" applyAlignment="1">
      <alignment horizontal="right" vertical="center"/>
    </xf>
    <xf numFmtId="0" fontId="23" fillId="0" borderId="88" xfId="0" applyFont="1" applyBorder="1" applyAlignment="1">
      <alignment horizontal="right" vertical="center"/>
    </xf>
    <xf numFmtId="0" fontId="23" fillId="0" borderId="90" xfId="0" applyFont="1" applyBorder="1" applyAlignment="1">
      <alignment horizontal="right" vertical="center"/>
    </xf>
    <xf numFmtId="0" fontId="23" fillId="0" borderId="89" xfId="0" applyFont="1" applyBorder="1" applyAlignment="1">
      <alignment horizontal="right" vertical="center"/>
    </xf>
    <xf numFmtId="0" fontId="24" fillId="9" borderId="55" xfId="0" applyFont="1" applyFill="1" applyBorder="1" applyAlignment="1">
      <alignment horizontal="center" vertical="center" wrapText="1"/>
    </xf>
    <xf numFmtId="0" fontId="24" fillId="9" borderId="77" xfId="0" applyFont="1" applyFill="1" applyBorder="1" applyAlignment="1">
      <alignment horizontal="center" vertical="center" wrapText="1"/>
    </xf>
    <xf numFmtId="0" fontId="24" fillId="8" borderId="82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right" vertical="center"/>
    </xf>
    <xf numFmtId="0" fontId="23" fillId="0" borderId="38" xfId="0" applyFont="1" applyBorder="1" applyAlignment="1">
      <alignment horizontal="right" vertical="center"/>
    </xf>
    <xf numFmtId="0" fontId="23" fillId="0" borderId="34" xfId="0" applyFont="1" applyBorder="1" applyAlignment="1">
      <alignment horizontal="right" vertical="center"/>
    </xf>
    <xf numFmtId="0" fontId="23" fillId="0" borderId="62" xfId="0" applyFont="1" applyBorder="1" applyAlignment="1">
      <alignment horizontal="center" vertical="center"/>
    </xf>
    <xf numFmtId="0" fontId="20" fillId="0" borderId="62" xfId="0" applyFont="1" applyFill="1" applyBorder="1" applyAlignment="1">
      <alignment horizontal="center" vertical="center"/>
    </xf>
    <xf numFmtId="0" fontId="20" fillId="0" borderId="63" xfId="0" applyFont="1" applyFill="1" applyBorder="1" applyAlignment="1">
      <alignment horizontal="center" vertical="center"/>
    </xf>
    <xf numFmtId="0" fontId="20" fillId="0" borderId="57" xfId="0" applyFont="1" applyFill="1" applyBorder="1" applyAlignment="1">
      <alignment horizontal="center" vertical="center"/>
    </xf>
    <xf numFmtId="0" fontId="24" fillId="9" borderId="68" xfId="0" applyFont="1" applyFill="1" applyBorder="1" applyAlignment="1">
      <alignment horizontal="left" vertical="center" wrapText="1"/>
    </xf>
    <xf numFmtId="0" fontId="24" fillId="9" borderId="69" xfId="0" applyFont="1" applyFill="1" applyBorder="1" applyAlignment="1">
      <alignment horizontal="left" vertical="center" wrapText="1"/>
    </xf>
    <xf numFmtId="0" fontId="24" fillId="9" borderId="70" xfId="0" applyFont="1" applyFill="1" applyBorder="1" applyAlignment="1">
      <alignment horizontal="center" vertical="center"/>
    </xf>
    <xf numFmtId="0" fontId="24" fillId="9" borderId="71" xfId="0" applyFont="1" applyFill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58" xfId="0" applyFont="1" applyFill="1" applyBorder="1" applyAlignment="1">
      <alignment horizontal="center" vertical="center" wrapText="1"/>
    </xf>
    <xf numFmtId="0" fontId="24" fillId="9" borderId="59" xfId="0" applyFont="1" applyFill="1" applyBorder="1" applyAlignment="1">
      <alignment horizontal="center" vertical="center" wrapText="1"/>
    </xf>
    <xf numFmtId="0" fontId="26" fillId="9" borderId="72" xfId="0" applyFont="1" applyFill="1" applyBorder="1" applyAlignment="1">
      <alignment horizontal="center" vertical="center" wrapText="1"/>
    </xf>
    <xf numFmtId="0" fontId="26" fillId="9" borderId="50" xfId="0" applyFont="1" applyFill="1" applyBorder="1" applyAlignment="1">
      <alignment horizontal="center" vertical="center" wrapText="1"/>
    </xf>
    <xf numFmtId="15" fontId="15" fillId="0" borderId="83" xfId="0" applyNumberFormat="1" applyFont="1" applyBorder="1" applyAlignment="1">
      <alignment horizontal="left" vertical="center"/>
    </xf>
    <xf numFmtId="0" fontId="16" fillId="0" borderId="30" xfId="0" applyFont="1" applyBorder="1" applyAlignment="1">
      <alignment horizontal="right" vertical="center" wrapText="1"/>
    </xf>
    <xf numFmtId="0" fontId="16" fillId="0" borderId="38" xfId="0" applyFont="1" applyBorder="1" applyAlignment="1">
      <alignment horizontal="right" vertical="center" wrapText="1"/>
    </xf>
    <xf numFmtId="0" fontId="16" fillId="0" borderId="34" xfId="0" applyFont="1" applyBorder="1" applyAlignment="1">
      <alignment horizontal="right" vertical="center" wrapText="1"/>
    </xf>
    <xf numFmtId="0" fontId="28" fillId="11" borderId="84" xfId="0" applyFont="1" applyFill="1" applyBorder="1" applyAlignment="1">
      <alignment horizontal="center" vertical="center" wrapText="1"/>
    </xf>
    <xf numFmtId="0" fontId="29" fillId="0" borderId="85" xfId="0" applyFont="1" applyBorder="1" applyAlignment="1">
      <alignment vertical="center"/>
    </xf>
    <xf numFmtId="0" fontId="23" fillId="0" borderId="36" xfId="0" applyFont="1" applyBorder="1" applyAlignment="1">
      <alignment horizontal="right" vertical="center"/>
    </xf>
    <xf numFmtId="0" fontId="23" fillId="0" borderId="37" xfId="0" applyFont="1" applyBorder="1" applyAlignment="1">
      <alignment horizontal="right" vertical="center"/>
    </xf>
    <xf numFmtId="0" fontId="23" fillId="0" borderId="32" xfId="0" applyFont="1" applyBorder="1" applyAlignment="1">
      <alignment horizontal="center" vertical="center"/>
    </xf>
    <xf numFmtId="0" fontId="20" fillId="0" borderId="32" xfId="0" applyFont="1" applyFill="1" applyBorder="1" applyAlignment="1">
      <alignment horizontal="center" vertical="center"/>
    </xf>
    <xf numFmtId="0" fontId="20" fillId="0" borderId="40" xfId="0" applyFont="1" applyFill="1" applyBorder="1" applyAlignment="1">
      <alignment horizontal="center" vertical="center"/>
    </xf>
    <xf numFmtId="0" fontId="20" fillId="0" borderId="54" xfId="0" applyFont="1" applyFill="1" applyBorder="1" applyAlignment="1">
      <alignment horizontal="center" vertical="center"/>
    </xf>
    <xf numFmtId="0" fontId="16" fillId="0" borderId="55" xfId="0" applyFont="1" applyFill="1" applyBorder="1" applyAlignment="1">
      <alignment horizontal="center" vertical="center" wrapText="1"/>
    </xf>
    <xf numFmtId="0" fontId="16" fillId="0" borderId="64" xfId="0" applyFont="1" applyFill="1" applyBorder="1" applyAlignment="1">
      <alignment horizontal="center" vertical="center" wrapText="1"/>
    </xf>
    <xf numFmtId="0" fontId="16" fillId="0" borderId="60" xfId="0" applyFont="1" applyFill="1" applyBorder="1" applyAlignment="1">
      <alignment horizontal="left" vertical="center" wrapText="1"/>
    </xf>
    <xf numFmtId="0" fontId="16" fillId="0" borderId="68" xfId="0" applyFont="1" applyFill="1" applyBorder="1" applyAlignment="1">
      <alignment horizontal="left" vertical="center" wrapText="1"/>
    </xf>
    <xf numFmtId="0" fontId="16" fillId="0" borderId="69" xfId="0" applyFont="1" applyFill="1" applyBorder="1" applyAlignment="1">
      <alignment horizontal="left" vertical="center" wrapText="1"/>
    </xf>
    <xf numFmtId="0" fontId="16" fillId="0" borderId="70" xfId="0" applyFont="1" applyFill="1" applyBorder="1" applyAlignment="1">
      <alignment horizontal="center" vertical="center"/>
    </xf>
    <xf numFmtId="0" fontId="16" fillId="0" borderId="71" xfId="0" applyFont="1" applyFill="1" applyBorder="1" applyAlignment="1">
      <alignment horizontal="center" vertical="center"/>
    </xf>
    <xf numFmtId="0" fontId="16" fillId="0" borderId="59" xfId="0" applyFont="1" applyFill="1" applyBorder="1" applyAlignment="1">
      <alignment horizontal="center" vertical="center"/>
    </xf>
    <xf numFmtId="0" fontId="16" fillId="0" borderId="58" xfId="0" applyFont="1" applyFill="1" applyBorder="1" applyAlignment="1">
      <alignment horizontal="center" vertical="center" wrapText="1"/>
    </xf>
    <xf numFmtId="0" fontId="16" fillId="0" borderId="59" xfId="0" applyFont="1" applyFill="1" applyBorder="1" applyAlignment="1">
      <alignment horizontal="center" vertical="center" wrapText="1"/>
    </xf>
    <xf numFmtId="0" fontId="20" fillId="0" borderId="72" xfId="0" applyFont="1" applyFill="1" applyBorder="1" applyAlignment="1">
      <alignment horizontal="center" vertical="center" wrapText="1"/>
    </xf>
    <xf numFmtId="0" fontId="20" fillId="0" borderId="5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4" fontId="3" fillId="3" borderId="4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right" vertical="center"/>
    </xf>
    <xf numFmtId="0" fontId="2" fillId="0" borderId="26" xfId="0" applyFont="1" applyBorder="1" applyAlignment="1">
      <alignment vertical="center"/>
    </xf>
    <xf numFmtId="0" fontId="4" fillId="0" borderId="25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4" fillId="0" borderId="17" xfId="0" applyFont="1" applyBorder="1" applyAlignment="1">
      <alignment horizontal="right" vertical="center"/>
    </xf>
    <xf numFmtId="0" fontId="4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right" vertical="center"/>
    </xf>
    <xf numFmtId="0" fontId="1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6" fillId="0" borderId="32" xfId="0" applyFont="1" applyFill="1" applyBorder="1" applyAlignment="1">
      <alignment horizontal="left" vertical="center" wrapText="1"/>
    </xf>
    <xf numFmtId="0" fontId="16" fillId="0" borderId="30" xfId="0" applyFont="1" applyFill="1" applyBorder="1" applyAlignment="1">
      <alignment horizontal="left" vertical="center" wrapText="1"/>
    </xf>
    <xf numFmtId="0" fontId="16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24" fillId="8" borderId="70" xfId="0" applyFont="1" applyFill="1" applyBorder="1" applyAlignment="1">
      <alignment horizontal="left" vertical="center" wrapText="1"/>
    </xf>
    <xf numFmtId="0" fontId="24" fillId="8" borderId="82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L48"/>
  <sheetViews>
    <sheetView tabSelected="1" zoomScale="70" zoomScaleNormal="70" workbookViewId="0">
      <pane xSplit="3" topLeftCell="D1" activePane="topRight" state="frozen"/>
      <selection pane="topRight" activeCell="D8" sqref="D8"/>
    </sheetView>
  </sheetViews>
  <sheetFormatPr defaultColWidth="14.42578125" defaultRowHeight="39" customHeight="1"/>
  <cols>
    <col min="1" max="1" width="8.28515625" style="66" customWidth="1"/>
    <col min="2" max="2" width="8.140625" style="66" customWidth="1"/>
    <col min="3" max="3" width="11.140625" style="66" customWidth="1"/>
    <col min="4" max="4" width="14" style="66" customWidth="1"/>
    <col min="5" max="5" width="14.85546875" style="66" customWidth="1"/>
    <col min="6" max="6" width="16" style="66" hidden="1" customWidth="1"/>
    <col min="7" max="9" width="16" style="79" customWidth="1"/>
    <col min="10" max="11" width="16" style="138" customWidth="1"/>
    <col min="12" max="12" width="13.7109375" style="181" customWidth="1"/>
    <col min="13" max="14" width="13.7109375" style="79" customWidth="1"/>
    <col min="15" max="26" width="14" style="138" customWidth="1"/>
    <col min="27" max="16384" width="14.42578125" style="66"/>
  </cols>
  <sheetData>
    <row r="2" spans="2:38" ht="39" customHeight="1" thickBot="1">
      <c r="B2" s="68"/>
      <c r="C2" s="319">
        <v>46264</v>
      </c>
      <c r="D2" s="319"/>
      <c r="E2" s="70"/>
      <c r="F2" s="70"/>
      <c r="G2" s="135"/>
      <c r="H2" s="135"/>
      <c r="I2" s="135"/>
      <c r="J2" s="136"/>
      <c r="K2" s="136"/>
      <c r="L2" s="176"/>
      <c r="M2" s="137"/>
      <c r="N2" s="137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 spans="2:38" ht="39" customHeight="1" thickBot="1">
      <c r="B3" s="141"/>
      <c r="C3" s="387" t="s">
        <v>241</v>
      </c>
      <c r="D3" s="388"/>
      <c r="E3" s="388"/>
      <c r="F3" s="388"/>
      <c r="G3" s="388"/>
      <c r="H3" s="388"/>
      <c r="I3" s="388"/>
      <c r="J3" s="388"/>
      <c r="K3" s="302"/>
      <c r="L3" s="302"/>
      <c r="M3" s="302"/>
      <c r="N3" s="302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8"/>
      <c r="Z3" s="239"/>
      <c r="AA3" s="240"/>
    </row>
    <row r="4" spans="2:38" ht="39" customHeight="1" thickBot="1">
      <c r="B4" s="187"/>
      <c r="C4" s="310" t="s">
        <v>271</v>
      </c>
      <c r="D4" s="311"/>
      <c r="E4" s="311"/>
      <c r="F4" s="311"/>
      <c r="G4" s="312" t="s">
        <v>267</v>
      </c>
      <c r="H4" s="313"/>
      <c r="I4" s="312" t="s">
        <v>238</v>
      </c>
      <c r="J4" s="314"/>
      <c r="K4" s="300" t="s">
        <v>270</v>
      </c>
      <c r="L4" s="315" t="s">
        <v>249</v>
      </c>
      <c r="M4" s="316"/>
      <c r="N4" s="300" t="s">
        <v>272</v>
      </c>
      <c r="O4" s="317" t="s">
        <v>250</v>
      </c>
      <c r="P4" s="318"/>
      <c r="Q4" s="317" t="s">
        <v>251</v>
      </c>
      <c r="R4" s="318"/>
      <c r="S4" s="317" t="s">
        <v>252</v>
      </c>
      <c r="T4" s="318"/>
      <c r="U4" s="323" t="s">
        <v>279</v>
      </c>
      <c r="V4" s="323" t="s">
        <v>280</v>
      </c>
      <c r="W4" s="317" t="s">
        <v>253</v>
      </c>
      <c r="X4" s="318"/>
      <c r="Y4" s="317"/>
      <c r="Z4" s="318"/>
      <c r="AA4" s="240"/>
    </row>
    <row r="5" spans="2:38" s="79" customFormat="1" ht="47.1" customHeight="1" thickBot="1">
      <c r="B5" s="210" t="s">
        <v>1</v>
      </c>
      <c r="C5" s="241" t="s">
        <v>2</v>
      </c>
      <c r="D5" s="242" t="s">
        <v>268</v>
      </c>
      <c r="E5" s="242" t="s">
        <v>269</v>
      </c>
      <c r="F5" s="242" t="s">
        <v>5</v>
      </c>
      <c r="G5" s="243" t="s">
        <v>248</v>
      </c>
      <c r="H5" s="243" t="s">
        <v>240</v>
      </c>
      <c r="I5" s="243" t="s">
        <v>248</v>
      </c>
      <c r="J5" s="244" t="s">
        <v>240</v>
      </c>
      <c r="K5" s="301"/>
      <c r="L5" s="245" t="s">
        <v>248</v>
      </c>
      <c r="M5" s="246" t="s">
        <v>240</v>
      </c>
      <c r="N5" s="301"/>
      <c r="O5" s="247" t="s">
        <v>248</v>
      </c>
      <c r="P5" s="248" t="s">
        <v>240</v>
      </c>
      <c r="Q5" s="247" t="s">
        <v>248</v>
      </c>
      <c r="R5" s="248" t="s">
        <v>240</v>
      </c>
      <c r="S5" s="247" t="s">
        <v>248</v>
      </c>
      <c r="T5" s="248" t="s">
        <v>240</v>
      </c>
      <c r="U5" s="324"/>
      <c r="V5" s="324"/>
      <c r="W5" s="247" t="s">
        <v>248</v>
      </c>
      <c r="X5" s="249" t="s">
        <v>240</v>
      </c>
      <c r="Y5" s="250" t="s">
        <v>255</v>
      </c>
      <c r="Z5" s="248" t="s">
        <v>254</v>
      </c>
      <c r="AA5" s="279" t="s">
        <v>287</v>
      </c>
      <c r="AB5" s="280" t="s">
        <v>288</v>
      </c>
      <c r="AC5" s="280" t="s">
        <v>289</v>
      </c>
      <c r="AD5" s="281">
        <v>46244</v>
      </c>
      <c r="AE5" s="281">
        <v>46254</v>
      </c>
      <c r="AF5" s="281">
        <v>46264</v>
      </c>
      <c r="AG5" s="281">
        <v>46275</v>
      </c>
      <c r="AH5" s="281">
        <v>46285</v>
      </c>
      <c r="AI5" s="281">
        <v>46295</v>
      </c>
      <c r="AJ5" s="281">
        <v>46305</v>
      </c>
      <c r="AK5" s="281">
        <v>46315</v>
      </c>
      <c r="AL5" s="282">
        <v>46325</v>
      </c>
    </row>
    <row r="6" spans="2:38" ht="27" customHeight="1" thickBot="1">
      <c r="B6" s="141">
        <v>1</v>
      </c>
      <c r="C6" s="217" t="s">
        <v>151</v>
      </c>
      <c r="D6" s="218" t="s">
        <v>146</v>
      </c>
      <c r="E6" s="218" t="s">
        <v>143</v>
      </c>
      <c r="F6" s="219">
        <v>45677</v>
      </c>
      <c r="G6" s="220">
        <v>45703</v>
      </c>
      <c r="H6" s="220">
        <v>45765</v>
      </c>
      <c r="I6" s="220">
        <v>46067</v>
      </c>
      <c r="J6" s="221">
        <v>46234</v>
      </c>
      <c r="K6" s="222">
        <f>(J6-H6)/30</f>
        <v>15.633333333333333</v>
      </c>
      <c r="L6" s="223">
        <v>1</v>
      </c>
      <c r="M6" s="224">
        <v>0.95</v>
      </c>
      <c r="N6" s="226">
        <f>(J6-$C$2)/30</f>
        <v>-1</v>
      </c>
      <c r="O6" s="221" t="s">
        <v>277</v>
      </c>
      <c r="P6" s="221"/>
      <c r="Q6" s="221" t="s">
        <v>277</v>
      </c>
      <c r="R6" s="221"/>
      <c r="S6" s="221" t="s">
        <v>277</v>
      </c>
      <c r="T6" s="221"/>
      <c r="U6" s="255"/>
      <c r="V6" s="255"/>
      <c r="W6" s="221">
        <f>Y6-15</f>
        <v>46204</v>
      </c>
      <c r="X6" s="221"/>
      <c r="Y6" s="221">
        <f>J6-15</f>
        <v>46219</v>
      </c>
      <c r="Z6" s="225">
        <f>Y6+10</f>
        <v>46229</v>
      </c>
      <c r="AA6" s="84">
        <v>0.95</v>
      </c>
      <c r="AB6" s="91">
        <v>0.95</v>
      </c>
      <c r="AC6" s="91">
        <v>0.95</v>
      </c>
      <c r="AD6" s="91">
        <v>0.95</v>
      </c>
      <c r="AE6" s="91">
        <v>0.95</v>
      </c>
      <c r="AF6" s="91">
        <v>0.95</v>
      </c>
      <c r="AG6" s="275"/>
      <c r="AH6" s="275"/>
      <c r="AI6" s="275"/>
      <c r="AJ6" s="275"/>
      <c r="AK6" s="275"/>
      <c r="AL6" s="283"/>
    </row>
    <row r="7" spans="2:38" s="101" customFormat="1" ht="27" customHeight="1" thickBot="1">
      <c r="B7" s="141">
        <v>2</v>
      </c>
      <c r="C7" s="155" t="s">
        <v>173</v>
      </c>
      <c r="D7" s="156" t="s">
        <v>146</v>
      </c>
      <c r="E7" s="157" t="s">
        <v>143</v>
      </c>
      <c r="F7" s="158">
        <v>45694</v>
      </c>
      <c r="G7" s="159">
        <v>45731</v>
      </c>
      <c r="H7" s="159">
        <v>45764</v>
      </c>
      <c r="I7" s="159">
        <v>46095</v>
      </c>
      <c r="J7" s="159">
        <v>46306</v>
      </c>
      <c r="K7" s="211">
        <f>(J7-H7)/30</f>
        <v>18.066666666666666</v>
      </c>
      <c r="L7" s="214">
        <v>1</v>
      </c>
      <c r="M7" s="215">
        <v>0.85</v>
      </c>
      <c r="N7" s="234">
        <f t="shared" ref="N7:N36" si="0">(J7-$C$2)/30</f>
        <v>1.4</v>
      </c>
      <c r="O7" s="221" t="s">
        <v>277</v>
      </c>
      <c r="P7" s="159"/>
      <c r="Q7" s="221" t="s">
        <v>277</v>
      </c>
      <c r="R7" s="159"/>
      <c r="S7" s="221" t="s">
        <v>277</v>
      </c>
      <c r="T7" s="159"/>
      <c r="U7" s="256"/>
      <c r="V7" s="256"/>
      <c r="W7" s="221">
        <f>Y7-15</f>
        <v>46276</v>
      </c>
      <c r="X7" s="159"/>
      <c r="Y7" s="159">
        <f>J7-15</f>
        <v>46291</v>
      </c>
      <c r="Z7" s="153">
        <f>Y7+10</f>
        <v>46301</v>
      </c>
      <c r="AA7" s="108">
        <v>0.8</v>
      </c>
      <c r="AB7" s="286">
        <v>0.85</v>
      </c>
      <c r="AC7" s="90">
        <v>0.85</v>
      </c>
      <c r="AD7" s="90">
        <v>0.85</v>
      </c>
      <c r="AE7" s="90">
        <v>0.85</v>
      </c>
      <c r="AF7" s="90">
        <v>0.85</v>
      </c>
      <c r="AG7" s="275"/>
      <c r="AH7" s="275"/>
      <c r="AI7" s="275"/>
      <c r="AJ7" s="275"/>
      <c r="AK7" s="275"/>
      <c r="AL7" s="285"/>
    </row>
    <row r="8" spans="2:38" ht="27" customHeight="1" thickBot="1">
      <c r="B8" s="141">
        <v>3</v>
      </c>
      <c r="C8" s="147" t="s">
        <v>145</v>
      </c>
      <c r="D8" s="148" t="s">
        <v>146</v>
      </c>
      <c r="E8" s="148" t="s">
        <v>143</v>
      </c>
      <c r="F8" s="149">
        <v>45679</v>
      </c>
      <c r="G8" s="150">
        <v>45712</v>
      </c>
      <c r="H8" s="150">
        <v>45762</v>
      </c>
      <c r="I8" s="150">
        <v>46076</v>
      </c>
      <c r="J8" s="159">
        <v>46265</v>
      </c>
      <c r="K8" s="211">
        <f t="shared" ref="K8:K36" si="1">(J8-H8)/30</f>
        <v>16.766666666666666</v>
      </c>
      <c r="L8" s="212">
        <v>1</v>
      </c>
      <c r="M8" s="213">
        <v>0.92</v>
      </c>
      <c r="N8" s="234">
        <f t="shared" si="0"/>
        <v>3.3333333333333333E-2</v>
      </c>
      <c r="O8" s="221" t="s">
        <v>277</v>
      </c>
      <c r="P8" s="159"/>
      <c r="Q8" s="221" t="s">
        <v>277</v>
      </c>
      <c r="R8" s="159"/>
      <c r="S8" s="221" t="s">
        <v>277</v>
      </c>
      <c r="T8" s="159"/>
      <c r="U8" s="256">
        <f t="shared" ref="U8:U15" si="2">V8-21</f>
        <v>46183</v>
      </c>
      <c r="V8" s="256">
        <f t="shared" ref="V8:V15" si="3">W8-30</f>
        <v>46204</v>
      </c>
      <c r="W8" s="159">
        <f t="shared" ref="W8:W36" si="4">Y8-15</f>
        <v>46234</v>
      </c>
      <c r="X8" s="159"/>
      <c r="Y8" s="159">
        <v>46249</v>
      </c>
      <c r="Z8" s="153">
        <f t="shared" ref="Z8:Z36" si="5">Y8+10</f>
        <v>46259</v>
      </c>
      <c r="AA8" s="84">
        <v>0.92</v>
      </c>
      <c r="AB8" s="91">
        <v>0.92</v>
      </c>
      <c r="AC8" s="91">
        <v>0.92</v>
      </c>
      <c r="AD8" s="91">
        <v>0.92</v>
      </c>
      <c r="AE8" s="91">
        <v>0.92</v>
      </c>
      <c r="AF8" s="284">
        <v>0.92</v>
      </c>
      <c r="AG8" s="275"/>
      <c r="AH8" s="275"/>
      <c r="AI8" s="275"/>
      <c r="AJ8" s="275"/>
      <c r="AK8" s="275"/>
      <c r="AL8" s="285"/>
    </row>
    <row r="9" spans="2:38" ht="27" customHeight="1" thickBot="1">
      <c r="B9" s="141">
        <v>4</v>
      </c>
      <c r="C9" s="160" t="s">
        <v>192</v>
      </c>
      <c r="D9" s="148" t="s">
        <v>193</v>
      </c>
      <c r="E9" s="161" t="s">
        <v>190</v>
      </c>
      <c r="F9" s="162">
        <v>45681</v>
      </c>
      <c r="G9" s="163">
        <v>45712</v>
      </c>
      <c r="H9" s="163">
        <v>45792</v>
      </c>
      <c r="I9" s="163">
        <v>46076</v>
      </c>
      <c r="J9" s="159">
        <v>46295</v>
      </c>
      <c r="K9" s="211">
        <f>(J9-H9)/30</f>
        <v>16.766666666666666</v>
      </c>
      <c r="L9" s="214">
        <v>1</v>
      </c>
      <c r="M9" s="216">
        <v>0.9</v>
      </c>
      <c r="N9" s="234">
        <f t="shared" si="0"/>
        <v>1.0333333333333334</v>
      </c>
      <c r="O9" s="221" t="s">
        <v>277</v>
      </c>
      <c r="P9" s="159"/>
      <c r="Q9" s="221" t="s">
        <v>277</v>
      </c>
      <c r="R9" s="159"/>
      <c r="S9" s="221" t="s">
        <v>277</v>
      </c>
      <c r="T9" s="159"/>
      <c r="U9" s="256">
        <f t="shared" si="2"/>
        <v>46214</v>
      </c>
      <c r="V9" s="256">
        <f t="shared" si="3"/>
        <v>46235</v>
      </c>
      <c r="W9" s="159">
        <f>Y9-15</f>
        <v>46265</v>
      </c>
      <c r="X9" s="159"/>
      <c r="Y9" s="159">
        <f>J9-15</f>
        <v>46280</v>
      </c>
      <c r="Z9" s="153">
        <f>Y9+10</f>
        <v>46290</v>
      </c>
      <c r="AA9" s="90">
        <v>0.9</v>
      </c>
      <c r="AB9" s="91">
        <v>0.9</v>
      </c>
      <c r="AC9" s="91">
        <v>0.9</v>
      </c>
      <c r="AD9" s="91">
        <v>0.9</v>
      </c>
      <c r="AE9" s="91">
        <v>0.9</v>
      </c>
      <c r="AF9" s="91">
        <v>0.9</v>
      </c>
      <c r="AG9" s="275"/>
      <c r="AH9" s="275"/>
      <c r="AI9" s="275"/>
      <c r="AJ9" s="275"/>
      <c r="AK9" s="275"/>
      <c r="AL9" s="285"/>
    </row>
    <row r="10" spans="2:38" ht="27" customHeight="1" thickBot="1">
      <c r="B10" s="141">
        <v>5</v>
      </c>
      <c r="C10" s="160" t="s">
        <v>188</v>
      </c>
      <c r="D10" s="148" t="s">
        <v>189</v>
      </c>
      <c r="E10" s="161" t="s">
        <v>190</v>
      </c>
      <c r="F10" s="162">
        <v>45777</v>
      </c>
      <c r="G10" s="163">
        <v>45814</v>
      </c>
      <c r="H10" s="163">
        <v>45814</v>
      </c>
      <c r="I10" s="163">
        <v>46178</v>
      </c>
      <c r="J10" s="159">
        <v>46310</v>
      </c>
      <c r="K10" s="211">
        <f>(J10-H10)/30</f>
        <v>16.533333333333335</v>
      </c>
      <c r="L10" s="214">
        <v>1</v>
      </c>
      <c r="M10" s="216">
        <v>0.85</v>
      </c>
      <c r="N10" s="234">
        <f t="shared" si="0"/>
        <v>1.5333333333333334</v>
      </c>
      <c r="O10" s="221" t="s">
        <v>277</v>
      </c>
      <c r="P10" s="159"/>
      <c r="Q10" s="221" t="s">
        <v>277</v>
      </c>
      <c r="R10" s="159"/>
      <c r="S10" s="221" t="s">
        <v>277</v>
      </c>
      <c r="T10" s="159"/>
      <c r="U10" s="256">
        <f t="shared" si="2"/>
        <v>46229</v>
      </c>
      <c r="V10" s="256">
        <f t="shared" si="3"/>
        <v>46250</v>
      </c>
      <c r="W10" s="159">
        <f>Y10-15</f>
        <v>46280</v>
      </c>
      <c r="X10" s="159"/>
      <c r="Y10" s="159">
        <f>J10-15</f>
        <v>46295</v>
      </c>
      <c r="Z10" s="153">
        <f>Y10+10</f>
        <v>46305</v>
      </c>
      <c r="AA10" s="91">
        <v>0.85</v>
      </c>
      <c r="AB10" s="91">
        <v>0.85</v>
      </c>
      <c r="AC10" s="91">
        <v>0.85</v>
      </c>
      <c r="AD10" s="91">
        <v>0.85</v>
      </c>
      <c r="AE10" s="91">
        <v>0.85</v>
      </c>
      <c r="AF10" s="91">
        <v>0.85</v>
      </c>
      <c r="AG10" s="275"/>
      <c r="AH10" s="275"/>
      <c r="AI10" s="275"/>
      <c r="AJ10" s="275"/>
      <c r="AK10" s="275"/>
      <c r="AL10" s="285"/>
    </row>
    <row r="11" spans="2:38" ht="27" customHeight="1" thickBot="1">
      <c r="B11" s="141">
        <v>6</v>
      </c>
      <c r="C11" s="147" t="s">
        <v>166</v>
      </c>
      <c r="D11" s="148" t="s">
        <v>146</v>
      </c>
      <c r="E11" s="148" t="s">
        <v>143</v>
      </c>
      <c r="F11" s="149">
        <v>45769</v>
      </c>
      <c r="G11" s="150">
        <v>45801</v>
      </c>
      <c r="H11" s="150">
        <v>45797</v>
      </c>
      <c r="I11" s="150">
        <v>46165</v>
      </c>
      <c r="J11" s="159">
        <v>46325</v>
      </c>
      <c r="K11" s="211">
        <f>(J11-H11)/30</f>
        <v>17.600000000000001</v>
      </c>
      <c r="L11" s="212">
        <v>1</v>
      </c>
      <c r="M11" s="213">
        <v>0.6</v>
      </c>
      <c r="N11" s="234">
        <f t="shared" si="0"/>
        <v>2.0333333333333332</v>
      </c>
      <c r="O11" s="221" t="s">
        <v>277</v>
      </c>
      <c r="P11" s="159"/>
      <c r="Q11" s="221" t="s">
        <v>277</v>
      </c>
      <c r="R11" s="159"/>
      <c r="S11" s="251">
        <v>46264</v>
      </c>
      <c r="T11" s="159"/>
      <c r="U11" s="256">
        <f t="shared" si="2"/>
        <v>46244</v>
      </c>
      <c r="V11" s="256">
        <f t="shared" si="3"/>
        <v>46265</v>
      </c>
      <c r="W11" s="159">
        <f>Y11-15</f>
        <v>46295</v>
      </c>
      <c r="X11" s="159"/>
      <c r="Y11" s="159">
        <f>J11-15</f>
        <v>46310</v>
      </c>
      <c r="Z11" s="153">
        <f>Y11+10</f>
        <v>46320</v>
      </c>
      <c r="AA11" s="84">
        <v>0.6</v>
      </c>
      <c r="AB11" s="91">
        <v>0.6</v>
      </c>
      <c r="AC11" s="91">
        <v>0.6</v>
      </c>
      <c r="AD11" s="91">
        <v>0.6</v>
      </c>
      <c r="AE11" s="91">
        <v>0.6</v>
      </c>
      <c r="AF11" s="91">
        <v>0.6</v>
      </c>
      <c r="AG11" s="275"/>
      <c r="AH11" s="275"/>
      <c r="AI11" s="275"/>
      <c r="AJ11" s="275"/>
      <c r="AK11" s="275"/>
      <c r="AL11" s="283"/>
    </row>
    <row r="12" spans="2:38" ht="27" customHeight="1" thickBot="1">
      <c r="B12" s="141">
        <v>7</v>
      </c>
      <c r="C12" s="228" t="s">
        <v>156</v>
      </c>
      <c r="D12" s="227" t="s">
        <v>146</v>
      </c>
      <c r="E12" s="227" t="s">
        <v>157</v>
      </c>
      <c r="F12" s="149">
        <v>45829</v>
      </c>
      <c r="G12" s="150">
        <v>45862</v>
      </c>
      <c r="H12" s="150">
        <v>45973</v>
      </c>
      <c r="I12" s="150">
        <v>46226</v>
      </c>
      <c r="J12" s="159">
        <v>46356</v>
      </c>
      <c r="K12" s="232">
        <f>(J12-H12)/30</f>
        <v>12.766666666666667</v>
      </c>
      <c r="L12" s="212">
        <v>1</v>
      </c>
      <c r="M12" s="212">
        <v>0.5</v>
      </c>
      <c r="N12" s="235">
        <f t="shared" si="0"/>
        <v>3.0666666666666669</v>
      </c>
      <c r="O12" s="221" t="s">
        <v>277</v>
      </c>
      <c r="P12" s="159"/>
      <c r="Q12" s="159">
        <v>46208</v>
      </c>
      <c r="R12" s="258">
        <v>46263</v>
      </c>
      <c r="S12" s="159">
        <v>46239</v>
      </c>
      <c r="T12" s="159"/>
      <c r="U12" s="256">
        <f t="shared" si="2"/>
        <v>46275</v>
      </c>
      <c r="V12" s="256">
        <f t="shared" si="3"/>
        <v>46296</v>
      </c>
      <c r="W12" s="159">
        <f>Y12-15</f>
        <v>46326</v>
      </c>
      <c r="X12" s="159"/>
      <c r="Y12" s="159">
        <f>J12-15</f>
        <v>46341</v>
      </c>
      <c r="Z12" s="153">
        <f>Y12+10</f>
        <v>46351</v>
      </c>
      <c r="AA12" s="84">
        <v>0.45</v>
      </c>
      <c r="AB12" s="91">
        <v>0.45</v>
      </c>
      <c r="AC12" s="91">
        <v>0.45</v>
      </c>
      <c r="AD12" s="91">
        <v>0.45</v>
      </c>
      <c r="AE12" s="91">
        <v>0.45</v>
      </c>
      <c r="AF12" s="286">
        <v>0.5</v>
      </c>
      <c r="AG12" s="275"/>
      <c r="AH12" s="275"/>
      <c r="AI12" s="275"/>
      <c r="AJ12" s="275"/>
      <c r="AK12" s="275"/>
      <c r="AL12" s="285"/>
    </row>
    <row r="13" spans="2:38" s="101" customFormat="1" ht="27" customHeight="1" thickBot="1">
      <c r="B13" s="236">
        <v>8</v>
      </c>
      <c r="C13" s="228" t="s">
        <v>141</v>
      </c>
      <c r="D13" s="227" t="s">
        <v>142</v>
      </c>
      <c r="E13" s="227" t="s">
        <v>143</v>
      </c>
      <c r="F13" s="229">
        <v>45735</v>
      </c>
      <c r="G13" s="230">
        <v>45753</v>
      </c>
      <c r="H13" s="230">
        <v>45797</v>
      </c>
      <c r="I13" s="230">
        <v>46117</v>
      </c>
      <c r="J13" s="231">
        <v>46356</v>
      </c>
      <c r="K13" s="232">
        <f>(J13-H13)/30</f>
        <v>18.633333333333333</v>
      </c>
      <c r="L13" s="212">
        <v>1</v>
      </c>
      <c r="M13" s="212">
        <v>0.6</v>
      </c>
      <c r="N13" s="235">
        <f t="shared" si="0"/>
        <v>3.0666666666666669</v>
      </c>
      <c r="O13" s="231" t="s">
        <v>277</v>
      </c>
      <c r="P13" s="231"/>
      <c r="Q13" s="231">
        <v>46238</v>
      </c>
      <c r="R13" s="231"/>
      <c r="S13" s="231">
        <v>46264</v>
      </c>
      <c r="T13" s="231"/>
      <c r="U13" s="256">
        <f t="shared" si="2"/>
        <v>46261</v>
      </c>
      <c r="V13" s="256">
        <f t="shared" si="3"/>
        <v>46282</v>
      </c>
      <c r="W13" s="231">
        <f>Y13-15</f>
        <v>46312</v>
      </c>
      <c r="X13" s="231"/>
      <c r="Y13" s="231">
        <v>46327</v>
      </c>
      <c r="Z13" s="233">
        <f>Y13+10</f>
        <v>46337</v>
      </c>
      <c r="AA13" s="84">
        <v>0.6</v>
      </c>
      <c r="AB13" s="91">
        <v>0.6</v>
      </c>
      <c r="AC13" s="91">
        <v>0.6</v>
      </c>
      <c r="AD13" s="91">
        <v>0.6</v>
      </c>
      <c r="AE13" s="91">
        <v>0.6</v>
      </c>
      <c r="AF13" s="91">
        <v>0.6</v>
      </c>
      <c r="AG13" s="275"/>
      <c r="AH13" s="275"/>
      <c r="AI13" s="275"/>
      <c r="AJ13" s="275"/>
      <c r="AK13" s="275"/>
      <c r="AL13" s="283"/>
    </row>
    <row r="14" spans="2:38" s="101" customFormat="1" ht="27" customHeight="1" thickBot="1">
      <c r="B14" s="236">
        <v>9</v>
      </c>
      <c r="C14" s="228" t="s">
        <v>148</v>
      </c>
      <c r="D14" s="227" t="s">
        <v>149</v>
      </c>
      <c r="E14" s="227" t="s">
        <v>143</v>
      </c>
      <c r="F14" s="229">
        <v>45847</v>
      </c>
      <c r="G14" s="230">
        <v>45893</v>
      </c>
      <c r="H14" s="230">
        <v>45979</v>
      </c>
      <c r="I14" s="230">
        <v>46257</v>
      </c>
      <c r="J14" s="231">
        <v>46387</v>
      </c>
      <c r="K14" s="232">
        <f t="shared" si="1"/>
        <v>13.6</v>
      </c>
      <c r="L14" s="212">
        <v>0.95</v>
      </c>
      <c r="M14" s="212">
        <v>0.45</v>
      </c>
      <c r="N14" s="235">
        <f t="shared" si="0"/>
        <v>4.0999999999999996</v>
      </c>
      <c r="O14" s="231" t="s">
        <v>277</v>
      </c>
      <c r="P14" s="231"/>
      <c r="Q14" s="231">
        <v>46259</v>
      </c>
      <c r="R14" s="231"/>
      <c r="S14" s="231">
        <v>46306</v>
      </c>
      <c r="T14" s="231"/>
      <c r="U14" s="256">
        <f t="shared" si="2"/>
        <v>46305</v>
      </c>
      <c r="V14" s="256">
        <f t="shared" si="3"/>
        <v>46326</v>
      </c>
      <c r="W14" s="231">
        <f t="shared" si="4"/>
        <v>46356</v>
      </c>
      <c r="X14" s="231"/>
      <c r="Y14" s="231">
        <v>46371</v>
      </c>
      <c r="Z14" s="233">
        <f t="shared" si="5"/>
        <v>46381</v>
      </c>
      <c r="AA14" s="84">
        <v>0.4</v>
      </c>
      <c r="AB14" s="91">
        <v>0.4</v>
      </c>
      <c r="AC14" s="91">
        <v>0.4</v>
      </c>
      <c r="AD14" s="91">
        <v>0.4</v>
      </c>
      <c r="AE14" s="286">
        <v>0.45</v>
      </c>
      <c r="AF14" s="284">
        <v>0.45</v>
      </c>
      <c r="AG14" s="275"/>
      <c r="AH14" s="275"/>
      <c r="AI14" s="275"/>
      <c r="AJ14" s="275"/>
      <c r="AK14" s="275"/>
      <c r="AL14" s="285"/>
    </row>
    <row r="15" spans="2:38" ht="27" customHeight="1" thickBot="1">
      <c r="B15" s="141">
        <v>10</v>
      </c>
      <c r="C15" s="160" t="s">
        <v>195</v>
      </c>
      <c r="D15" s="148" t="s">
        <v>189</v>
      </c>
      <c r="E15" s="161" t="s">
        <v>190</v>
      </c>
      <c r="F15" s="162">
        <v>45799</v>
      </c>
      <c r="G15" s="163">
        <v>45823</v>
      </c>
      <c r="H15" s="163">
        <v>45817</v>
      </c>
      <c r="I15" s="163">
        <v>46187</v>
      </c>
      <c r="J15" s="159">
        <v>46387</v>
      </c>
      <c r="K15" s="211">
        <f>(J15-H15)/30</f>
        <v>19</v>
      </c>
      <c r="L15" s="214">
        <v>1</v>
      </c>
      <c r="M15" s="216">
        <v>0.75</v>
      </c>
      <c r="N15" s="234">
        <f t="shared" si="0"/>
        <v>4.0999999999999996</v>
      </c>
      <c r="O15" s="221" t="s">
        <v>277</v>
      </c>
      <c r="P15" s="159"/>
      <c r="Q15" s="221" t="s">
        <v>277</v>
      </c>
      <c r="R15" s="159"/>
      <c r="S15" s="221" t="s">
        <v>277</v>
      </c>
      <c r="T15" s="159"/>
      <c r="U15" s="257">
        <f t="shared" si="2"/>
        <v>46306</v>
      </c>
      <c r="V15" s="257">
        <f t="shared" si="3"/>
        <v>46327</v>
      </c>
      <c r="W15" s="159">
        <f>Y15-15</f>
        <v>46357</v>
      </c>
      <c r="X15" s="159"/>
      <c r="Y15" s="159">
        <f>J15-15</f>
        <v>46372</v>
      </c>
      <c r="Z15" s="153">
        <f>Y15+10</f>
        <v>46382</v>
      </c>
      <c r="AA15" s="90">
        <v>0.75</v>
      </c>
      <c r="AB15" s="91">
        <v>0.75</v>
      </c>
      <c r="AC15" s="91">
        <v>0.75</v>
      </c>
      <c r="AD15" s="91">
        <v>0.75</v>
      </c>
      <c r="AE15" s="91">
        <v>0.75</v>
      </c>
      <c r="AF15" s="91">
        <v>0.75</v>
      </c>
      <c r="AG15" s="275"/>
      <c r="AH15" s="275"/>
      <c r="AI15" s="275"/>
      <c r="AJ15" s="275"/>
      <c r="AK15" s="275"/>
      <c r="AL15" s="285"/>
    </row>
    <row r="16" spans="2:38" ht="27" customHeight="1" thickBot="1">
      <c r="B16" s="141"/>
      <c r="C16" s="160"/>
      <c r="D16" s="148"/>
      <c r="E16" s="161"/>
      <c r="F16" s="162"/>
      <c r="G16" s="163"/>
      <c r="H16" s="163"/>
      <c r="I16" s="163"/>
      <c r="J16" s="159"/>
      <c r="K16" s="211"/>
      <c r="L16" s="214"/>
      <c r="M16" s="216"/>
      <c r="N16" s="234" t="s">
        <v>243</v>
      </c>
      <c r="O16" s="159"/>
      <c r="P16" s="159"/>
      <c r="Q16" s="159"/>
      <c r="R16" s="159"/>
      <c r="S16" s="159"/>
      <c r="T16" s="159"/>
      <c r="U16" s="256" t="s">
        <v>243</v>
      </c>
      <c r="V16" s="256"/>
      <c r="W16" s="159"/>
      <c r="X16" s="159"/>
      <c r="Y16" s="159"/>
      <c r="Z16" s="153"/>
      <c r="AA16" s="84"/>
      <c r="AB16" s="91"/>
      <c r="AC16" s="91"/>
      <c r="AD16" s="91"/>
      <c r="AE16" s="91"/>
      <c r="AF16" s="90"/>
      <c r="AG16" s="275"/>
      <c r="AH16" s="275"/>
      <c r="AI16" s="275"/>
      <c r="AJ16" s="288"/>
      <c r="AK16" s="275"/>
      <c r="AL16" s="285"/>
    </row>
    <row r="17" spans="2:38" ht="27" customHeight="1" thickBot="1">
      <c r="B17" s="141">
        <v>1</v>
      </c>
      <c r="C17" s="160" t="s">
        <v>198</v>
      </c>
      <c r="D17" s="161" t="s">
        <v>199</v>
      </c>
      <c r="E17" s="161" t="s">
        <v>190</v>
      </c>
      <c r="F17" s="162">
        <v>45819</v>
      </c>
      <c r="G17" s="163">
        <v>45832</v>
      </c>
      <c r="H17" s="163">
        <v>45984</v>
      </c>
      <c r="I17" s="163">
        <v>46196</v>
      </c>
      <c r="J17" s="159">
        <v>46433</v>
      </c>
      <c r="K17" s="211">
        <f>(J17-H17)/30</f>
        <v>14.966666666666667</v>
      </c>
      <c r="L17" s="214">
        <v>1</v>
      </c>
      <c r="M17" s="216">
        <v>0.5</v>
      </c>
      <c r="N17" s="211">
        <f t="shared" si="0"/>
        <v>5.6333333333333337</v>
      </c>
      <c r="O17" s="221" t="s">
        <v>277</v>
      </c>
      <c r="P17" s="159"/>
      <c r="Q17" s="221" t="s">
        <v>277</v>
      </c>
      <c r="R17" s="159"/>
      <c r="S17" s="159">
        <v>46265</v>
      </c>
      <c r="T17" s="159"/>
      <c r="U17" s="256">
        <f t="shared" ref="U17:U36" si="6">V17-21</f>
        <v>46352</v>
      </c>
      <c r="V17" s="256">
        <f t="shared" ref="V17:V36" si="7">W17-30</f>
        <v>46373</v>
      </c>
      <c r="W17" s="159">
        <f>Y17-15</f>
        <v>46403</v>
      </c>
      <c r="X17" s="159"/>
      <c r="Y17" s="159">
        <f>J17-15</f>
        <v>46418</v>
      </c>
      <c r="Z17" s="153">
        <f>Y17+10</f>
        <v>46428</v>
      </c>
      <c r="AA17" s="286">
        <v>0.5</v>
      </c>
      <c r="AB17" s="91">
        <v>0.5</v>
      </c>
      <c r="AC17" s="91">
        <v>0.5</v>
      </c>
      <c r="AD17" s="91">
        <v>0.5</v>
      </c>
      <c r="AE17" s="91">
        <v>0.5</v>
      </c>
      <c r="AF17" s="91">
        <v>0.5</v>
      </c>
      <c r="AG17" s="275"/>
      <c r="AH17" s="275"/>
      <c r="AI17" s="275"/>
      <c r="AJ17" s="275"/>
      <c r="AK17" s="275"/>
      <c r="AL17" s="285"/>
    </row>
    <row r="18" spans="2:38" s="101" customFormat="1" ht="27" customHeight="1" thickBot="1">
      <c r="B18" s="236">
        <v>2</v>
      </c>
      <c r="C18" s="228" t="s">
        <v>163</v>
      </c>
      <c r="D18" s="227" t="s">
        <v>149</v>
      </c>
      <c r="E18" s="227" t="s">
        <v>143</v>
      </c>
      <c r="F18" s="229">
        <v>45867</v>
      </c>
      <c r="G18" s="230">
        <v>45893</v>
      </c>
      <c r="H18" s="230">
        <v>45978</v>
      </c>
      <c r="I18" s="230">
        <v>46257</v>
      </c>
      <c r="J18" s="231">
        <v>46446</v>
      </c>
      <c r="K18" s="232">
        <f t="shared" si="1"/>
        <v>15.6</v>
      </c>
      <c r="L18" s="212">
        <v>0.95</v>
      </c>
      <c r="M18" s="212">
        <v>0.4</v>
      </c>
      <c r="N18" s="232">
        <f t="shared" si="0"/>
        <v>6.0666666666666664</v>
      </c>
      <c r="O18" s="231" t="s">
        <v>277</v>
      </c>
      <c r="P18" s="231"/>
      <c r="Q18" s="231">
        <v>46307</v>
      </c>
      <c r="R18" s="231"/>
      <c r="S18" s="231">
        <v>46351</v>
      </c>
      <c r="T18" s="231"/>
      <c r="U18" s="256">
        <f t="shared" si="6"/>
        <v>46365</v>
      </c>
      <c r="V18" s="256">
        <f t="shared" si="7"/>
        <v>46386</v>
      </c>
      <c r="W18" s="231">
        <f t="shared" si="4"/>
        <v>46416</v>
      </c>
      <c r="X18" s="231"/>
      <c r="Y18" s="231">
        <f t="shared" ref="Y18:Y36" si="8">J18-15</f>
        <v>46431</v>
      </c>
      <c r="Z18" s="233">
        <f t="shared" si="5"/>
        <v>46441</v>
      </c>
      <c r="AA18" s="287">
        <v>0.4</v>
      </c>
      <c r="AB18" s="91">
        <v>0.4</v>
      </c>
      <c r="AC18" s="91">
        <v>0.4</v>
      </c>
      <c r="AD18" s="91">
        <v>0.4</v>
      </c>
      <c r="AE18" s="91">
        <v>0.4</v>
      </c>
      <c r="AF18" s="91">
        <v>0.4</v>
      </c>
      <c r="AG18" s="275"/>
      <c r="AH18" s="275"/>
      <c r="AI18" s="275"/>
      <c r="AJ18" s="275"/>
      <c r="AK18" s="275"/>
      <c r="AL18" s="285"/>
    </row>
    <row r="19" spans="2:38" s="101" customFormat="1" ht="27" customHeight="1" thickBot="1">
      <c r="B19" s="236">
        <v>3</v>
      </c>
      <c r="C19" s="228" t="s">
        <v>165</v>
      </c>
      <c r="D19" s="227" t="s">
        <v>162</v>
      </c>
      <c r="E19" s="227" t="s">
        <v>143</v>
      </c>
      <c r="F19" s="229">
        <v>45836</v>
      </c>
      <c r="G19" s="230">
        <v>45884</v>
      </c>
      <c r="H19" s="230">
        <v>45979</v>
      </c>
      <c r="I19" s="230">
        <v>46248</v>
      </c>
      <c r="J19" s="231">
        <v>46446</v>
      </c>
      <c r="K19" s="232">
        <f t="shared" si="1"/>
        <v>15.566666666666666</v>
      </c>
      <c r="L19" s="212">
        <v>0.95</v>
      </c>
      <c r="M19" s="212">
        <v>0.35</v>
      </c>
      <c r="N19" s="232">
        <f t="shared" si="0"/>
        <v>6.0666666666666664</v>
      </c>
      <c r="O19" s="231" t="s">
        <v>277</v>
      </c>
      <c r="P19" s="231"/>
      <c r="Q19" s="231">
        <v>46307</v>
      </c>
      <c r="R19" s="231"/>
      <c r="S19" s="231">
        <v>46351</v>
      </c>
      <c r="T19" s="231"/>
      <c r="U19" s="256">
        <f t="shared" si="6"/>
        <v>46365</v>
      </c>
      <c r="V19" s="256">
        <f t="shared" si="7"/>
        <v>46386</v>
      </c>
      <c r="W19" s="231">
        <f t="shared" si="4"/>
        <v>46416</v>
      </c>
      <c r="X19" s="231"/>
      <c r="Y19" s="231">
        <f t="shared" si="8"/>
        <v>46431</v>
      </c>
      <c r="Z19" s="233">
        <f t="shared" si="5"/>
        <v>46441</v>
      </c>
      <c r="AA19" s="84">
        <v>0.3</v>
      </c>
      <c r="AB19" s="91">
        <v>0.3</v>
      </c>
      <c r="AC19" s="91">
        <v>0.3</v>
      </c>
      <c r="AD19" s="91">
        <v>0.3</v>
      </c>
      <c r="AE19" s="91">
        <v>0.3</v>
      </c>
      <c r="AF19" s="286">
        <v>0.35</v>
      </c>
      <c r="AG19" s="289"/>
      <c r="AH19" s="289"/>
      <c r="AI19" s="289"/>
      <c r="AJ19" s="289"/>
      <c r="AK19" s="289"/>
      <c r="AL19" s="290"/>
    </row>
    <row r="20" spans="2:38" ht="27" customHeight="1" thickBot="1">
      <c r="B20" s="141">
        <v>4</v>
      </c>
      <c r="C20" s="147" t="s">
        <v>170</v>
      </c>
      <c r="D20" s="148" t="s">
        <v>171</v>
      </c>
      <c r="E20" s="148" t="s">
        <v>143</v>
      </c>
      <c r="F20" s="149">
        <v>45800</v>
      </c>
      <c r="G20" s="150">
        <v>45832</v>
      </c>
      <c r="H20" s="150">
        <v>45972</v>
      </c>
      <c r="I20" s="150">
        <v>46196</v>
      </c>
      <c r="J20" s="159">
        <v>46446</v>
      </c>
      <c r="K20" s="211">
        <f t="shared" si="1"/>
        <v>15.8</v>
      </c>
      <c r="L20" s="212">
        <v>1</v>
      </c>
      <c r="M20" s="213">
        <v>0.38</v>
      </c>
      <c r="N20" s="211">
        <f t="shared" si="0"/>
        <v>6.0666666666666664</v>
      </c>
      <c r="O20" s="221" t="s">
        <v>277</v>
      </c>
      <c r="P20" s="159"/>
      <c r="Q20" s="159">
        <v>46265</v>
      </c>
      <c r="R20" s="159"/>
      <c r="S20" s="159">
        <v>46315</v>
      </c>
      <c r="T20" s="159"/>
      <c r="U20" s="256">
        <f t="shared" si="6"/>
        <v>46365</v>
      </c>
      <c r="V20" s="256">
        <f t="shared" si="7"/>
        <v>46386</v>
      </c>
      <c r="W20" s="159">
        <f t="shared" si="4"/>
        <v>46416</v>
      </c>
      <c r="X20" s="159"/>
      <c r="Y20" s="159">
        <f t="shared" si="8"/>
        <v>46431</v>
      </c>
      <c r="Z20" s="153">
        <f t="shared" si="5"/>
        <v>46441</v>
      </c>
      <c r="AA20" s="84">
        <v>0.38</v>
      </c>
      <c r="AB20" s="91">
        <v>0.38</v>
      </c>
      <c r="AC20" s="91">
        <v>0.38</v>
      </c>
      <c r="AD20" s="91">
        <v>0.38</v>
      </c>
      <c r="AE20" s="91">
        <v>0.38</v>
      </c>
      <c r="AF20" s="91">
        <v>0.38</v>
      </c>
      <c r="AG20" s="275"/>
      <c r="AH20" s="275"/>
      <c r="AI20" s="275"/>
      <c r="AJ20" s="275"/>
      <c r="AK20" s="275"/>
      <c r="AL20" s="285"/>
    </row>
    <row r="21" spans="2:38" ht="27" customHeight="1" thickBot="1">
      <c r="B21" s="141">
        <v>5</v>
      </c>
      <c r="C21" s="160" t="s">
        <v>204</v>
      </c>
      <c r="D21" s="148" t="s">
        <v>205</v>
      </c>
      <c r="E21" s="161" t="s">
        <v>190</v>
      </c>
      <c r="F21" s="162">
        <v>45920</v>
      </c>
      <c r="G21" s="163">
        <v>45814</v>
      </c>
      <c r="H21" s="163">
        <v>45792</v>
      </c>
      <c r="I21" s="163">
        <v>46239</v>
      </c>
      <c r="J21" s="159">
        <v>46477</v>
      </c>
      <c r="K21" s="211">
        <f>(J21-H21)/30</f>
        <v>22.833333333333332</v>
      </c>
      <c r="L21" s="214">
        <v>1</v>
      </c>
      <c r="M21" s="216">
        <v>0.6</v>
      </c>
      <c r="N21" s="211">
        <f t="shared" si="0"/>
        <v>7.1</v>
      </c>
      <c r="O21" s="221" t="s">
        <v>277</v>
      </c>
      <c r="P21" s="159"/>
      <c r="Q21" s="159">
        <v>46249</v>
      </c>
      <c r="R21" s="159"/>
      <c r="S21" s="159">
        <v>46310</v>
      </c>
      <c r="T21" s="159"/>
      <c r="U21" s="256">
        <f t="shared" si="6"/>
        <v>46396</v>
      </c>
      <c r="V21" s="256">
        <f t="shared" si="7"/>
        <v>46417</v>
      </c>
      <c r="W21" s="159">
        <f>Y21-15</f>
        <v>46447</v>
      </c>
      <c r="X21" s="159"/>
      <c r="Y21" s="159">
        <f>J21-15</f>
        <v>46462</v>
      </c>
      <c r="Z21" s="153">
        <f>Y21+10</f>
        <v>46472</v>
      </c>
      <c r="AA21" s="90">
        <v>0.45</v>
      </c>
      <c r="AB21" s="286">
        <v>0.5</v>
      </c>
      <c r="AC21" s="90">
        <v>0.5</v>
      </c>
      <c r="AD21" s="90">
        <v>0.5</v>
      </c>
      <c r="AE21" s="286">
        <v>0.55000000000000004</v>
      </c>
      <c r="AF21" s="286">
        <v>0.6</v>
      </c>
      <c r="AG21" s="275"/>
      <c r="AH21" s="275"/>
      <c r="AI21" s="275"/>
      <c r="AJ21" s="275"/>
      <c r="AK21" s="275"/>
      <c r="AL21" s="285"/>
    </row>
    <row r="22" spans="2:38" ht="27" customHeight="1" thickBot="1">
      <c r="B22" s="141">
        <v>6</v>
      </c>
      <c r="C22" s="147" t="s">
        <v>168</v>
      </c>
      <c r="D22" s="148" t="s">
        <v>146</v>
      </c>
      <c r="E22" s="148" t="s">
        <v>154</v>
      </c>
      <c r="F22" s="149">
        <v>45869</v>
      </c>
      <c r="G22" s="150">
        <v>45906</v>
      </c>
      <c r="H22" s="150">
        <v>46007</v>
      </c>
      <c r="I22" s="150">
        <v>46270</v>
      </c>
      <c r="J22" s="159">
        <v>46507</v>
      </c>
      <c r="K22" s="211">
        <f>(J22-H22)/30</f>
        <v>16.666666666666668</v>
      </c>
      <c r="L22" s="212">
        <v>0.9</v>
      </c>
      <c r="M22" s="213">
        <v>0.3</v>
      </c>
      <c r="N22" s="211">
        <f t="shared" si="0"/>
        <v>8.1</v>
      </c>
      <c r="O22" s="159">
        <v>46213</v>
      </c>
      <c r="P22" s="258">
        <v>46235</v>
      </c>
      <c r="Q22" s="159">
        <v>46275</v>
      </c>
      <c r="R22" s="159"/>
      <c r="S22" s="159">
        <v>46334</v>
      </c>
      <c r="T22" s="159"/>
      <c r="U22" s="256">
        <f t="shared" si="6"/>
        <v>46426</v>
      </c>
      <c r="V22" s="256">
        <f t="shared" si="7"/>
        <v>46447</v>
      </c>
      <c r="W22" s="159">
        <f>Y22-15</f>
        <v>46477</v>
      </c>
      <c r="X22" s="159"/>
      <c r="Y22" s="159">
        <f>J22-15</f>
        <v>46492</v>
      </c>
      <c r="Z22" s="153">
        <f>Y22+10</f>
        <v>46502</v>
      </c>
      <c r="AA22" s="287">
        <v>0.2</v>
      </c>
      <c r="AB22" s="91">
        <v>0.2</v>
      </c>
      <c r="AC22" s="91">
        <v>0.2</v>
      </c>
      <c r="AD22" s="91">
        <v>0.25</v>
      </c>
      <c r="AE22" s="286">
        <v>0.3</v>
      </c>
      <c r="AF22" s="284">
        <v>0.3</v>
      </c>
      <c r="AG22" s="275"/>
      <c r="AH22" s="275"/>
      <c r="AI22" s="275"/>
      <c r="AJ22" s="275"/>
      <c r="AK22" s="275"/>
      <c r="AL22" s="285"/>
    </row>
    <row r="23" spans="2:38" ht="27" customHeight="1" thickBot="1">
      <c r="B23" s="141">
        <v>7</v>
      </c>
      <c r="C23" s="160" t="s">
        <v>203</v>
      </c>
      <c r="D23" s="148" t="s">
        <v>193</v>
      </c>
      <c r="E23" s="161" t="s">
        <v>242</v>
      </c>
      <c r="F23" s="162">
        <v>46097</v>
      </c>
      <c r="G23" s="163">
        <v>46136</v>
      </c>
      <c r="H23" s="163">
        <v>46155</v>
      </c>
      <c r="I23" s="159">
        <v>46500</v>
      </c>
      <c r="J23" s="159">
        <v>46538</v>
      </c>
      <c r="K23" s="211">
        <f>(J23-H23)/30</f>
        <v>12.766666666666667</v>
      </c>
      <c r="L23" s="214" t="s">
        <v>243</v>
      </c>
      <c r="M23" s="216">
        <v>0.2</v>
      </c>
      <c r="N23" s="211">
        <f t="shared" si="0"/>
        <v>9.1333333333333329</v>
      </c>
      <c r="O23" s="159">
        <v>46253</v>
      </c>
      <c r="P23" s="159"/>
      <c r="Q23" s="159">
        <v>46308</v>
      </c>
      <c r="R23" s="159"/>
      <c r="S23" s="159">
        <v>46439</v>
      </c>
      <c r="T23" s="159"/>
      <c r="U23" s="256">
        <f t="shared" si="6"/>
        <v>46457</v>
      </c>
      <c r="V23" s="256">
        <f t="shared" si="7"/>
        <v>46478</v>
      </c>
      <c r="W23" s="159">
        <f>Y23-15</f>
        <v>46508</v>
      </c>
      <c r="X23" s="159"/>
      <c r="Y23" s="159">
        <f>J23-15</f>
        <v>46523</v>
      </c>
      <c r="Z23" s="153">
        <f>Y23+10</f>
        <v>46533</v>
      </c>
      <c r="AA23" s="286">
        <v>0.1</v>
      </c>
      <c r="AB23" s="91">
        <v>0.1</v>
      </c>
      <c r="AC23" s="91">
        <v>0.1</v>
      </c>
      <c r="AD23" s="91">
        <v>0.1</v>
      </c>
      <c r="AE23" s="286">
        <v>0.15</v>
      </c>
      <c r="AF23" s="286">
        <v>0.2</v>
      </c>
      <c r="AG23" s="275"/>
      <c r="AH23" s="275"/>
      <c r="AI23" s="275"/>
      <c r="AJ23" s="275"/>
      <c r="AK23" s="275"/>
      <c r="AL23" s="285"/>
    </row>
    <row r="24" spans="2:38" ht="27" customHeight="1" thickBot="1">
      <c r="B24" s="141">
        <v>8</v>
      </c>
      <c r="C24" s="147" t="s">
        <v>176</v>
      </c>
      <c r="D24" s="148" t="s">
        <v>146</v>
      </c>
      <c r="E24" s="148" t="s">
        <v>154</v>
      </c>
      <c r="F24" s="149">
        <v>45957</v>
      </c>
      <c r="G24" s="150">
        <v>46077</v>
      </c>
      <c r="H24" s="150">
        <v>46073</v>
      </c>
      <c r="I24" s="150">
        <v>46441</v>
      </c>
      <c r="J24" s="159">
        <v>46568</v>
      </c>
      <c r="K24" s="211">
        <f t="shared" si="1"/>
        <v>16.5</v>
      </c>
      <c r="L24" s="212">
        <v>0.4</v>
      </c>
      <c r="M24" s="213">
        <v>0.2</v>
      </c>
      <c r="N24" s="211">
        <f t="shared" si="0"/>
        <v>10.133333333333333</v>
      </c>
      <c r="O24" s="159">
        <v>46218</v>
      </c>
      <c r="P24" s="159"/>
      <c r="Q24" s="159">
        <v>46271</v>
      </c>
      <c r="R24" s="159"/>
      <c r="S24" s="159">
        <v>46361</v>
      </c>
      <c r="T24" s="159"/>
      <c r="U24" s="256">
        <f t="shared" si="6"/>
        <v>46487</v>
      </c>
      <c r="V24" s="256">
        <f t="shared" si="7"/>
        <v>46508</v>
      </c>
      <c r="W24" s="159">
        <f t="shared" si="4"/>
        <v>46538</v>
      </c>
      <c r="X24" s="159"/>
      <c r="Y24" s="159">
        <f t="shared" si="8"/>
        <v>46553</v>
      </c>
      <c r="Z24" s="153">
        <f t="shared" si="5"/>
        <v>46563</v>
      </c>
      <c r="AA24" s="85">
        <v>0.15</v>
      </c>
      <c r="AB24" s="286">
        <v>0.2</v>
      </c>
      <c r="AC24" s="90">
        <v>0.2</v>
      </c>
      <c r="AD24" s="90">
        <v>0.2</v>
      </c>
      <c r="AE24" s="90">
        <v>0.2</v>
      </c>
      <c r="AF24" s="90">
        <v>0.2</v>
      </c>
      <c r="AG24" s="275"/>
      <c r="AH24" s="275"/>
      <c r="AI24" s="275"/>
      <c r="AJ24" s="275"/>
      <c r="AK24" s="275"/>
      <c r="AL24" s="285"/>
    </row>
    <row r="25" spans="2:38" ht="27" customHeight="1" thickBot="1">
      <c r="B25" s="141">
        <v>9</v>
      </c>
      <c r="C25" s="147" t="s">
        <v>153</v>
      </c>
      <c r="D25" s="148" t="s">
        <v>146</v>
      </c>
      <c r="E25" s="148" t="s">
        <v>154</v>
      </c>
      <c r="F25" s="149">
        <v>46023</v>
      </c>
      <c r="G25" s="150">
        <v>46073</v>
      </c>
      <c r="H25" s="150">
        <v>46073</v>
      </c>
      <c r="I25" s="150">
        <v>46437</v>
      </c>
      <c r="J25" s="159">
        <v>46568</v>
      </c>
      <c r="K25" s="211">
        <f t="shared" ref="K25:K31" si="9">(J25-H25)/30</f>
        <v>16.5</v>
      </c>
      <c r="L25" s="212">
        <v>0.4</v>
      </c>
      <c r="M25" s="213">
        <v>0.15</v>
      </c>
      <c r="N25" s="211">
        <f t="shared" si="0"/>
        <v>10.133333333333333</v>
      </c>
      <c r="O25" s="159">
        <v>46233</v>
      </c>
      <c r="P25" s="159"/>
      <c r="Q25" s="159">
        <v>46293</v>
      </c>
      <c r="R25" s="159"/>
      <c r="S25" s="159">
        <v>46387</v>
      </c>
      <c r="T25" s="159"/>
      <c r="U25" s="256">
        <f t="shared" si="6"/>
        <v>46487</v>
      </c>
      <c r="V25" s="256">
        <f t="shared" si="7"/>
        <v>46508</v>
      </c>
      <c r="W25" s="159">
        <f t="shared" ref="W25:W31" si="10">Y25-15</f>
        <v>46538</v>
      </c>
      <c r="X25" s="159"/>
      <c r="Y25" s="159">
        <f t="shared" ref="Y25:Y31" si="11">J25-15</f>
        <v>46553</v>
      </c>
      <c r="Z25" s="153">
        <f t="shared" ref="Z25:Z31" si="12">Y25+10</f>
        <v>46563</v>
      </c>
      <c r="AA25" s="84">
        <v>0.15</v>
      </c>
      <c r="AB25" s="91">
        <v>0.15</v>
      </c>
      <c r="AC25" s="91">
        <v>0.15</v>
      </c>
      <c r="AD25" s="91">
        <v>0.15</v>
      </c>
      <c r="AE25" s="91">
        <v>0.15</v>
      </c>
      <c r="AF25" s="91">
        <v>0.15</v>
      </c>
      <c r="AG25" s="275"/>
      <c r="AH25" s="275"/>
      <c r="AI25" s="275"/>
      <c r="AJ25" s="275"/>
      <c r="AK25" s="275"/>
      <c r="AL25" s="285"/>
    </row>
    <row r="26" spans="2:38" ht="27" customHeight="1" thickBot="1">
      <c r="B26" s="141">
        <v>10</v>
      </c>
      <c r="C26" s="253" t="s">
        <v>201</v>
      </c>
      <c r="D26" s="252" t="s">
        <v>146</v>
      </c>
      <c r="E26" s="161" t="s">
        <v>242</v>
      </c>
      <c r="F26" s="162">
        <v>46097</v>
      </c>
      <c r="G26" s="163">
        <v>46136</v>
      </c>
      <c r="H26" s="163">
        <v>46155</v>
      </c>
      <c r="I26" s="163">
        <v>46500</v>
      </c>
      <c r="J26" s="159">
        <v>46568</v>
      </c>
      <c r="K26" s="211">
        <f t="shared" si="9"/>
        <v>13.766666666666667</v>
      </c>
      <c r="L26" s="214" t="s">
        <v>243</v>
      </c>
      <c r="M26" s="216">
        <v>0.2</v>
      </c>
      <c r="N26" s="211">
        <f t="shared" si="0"/>
        <v>10.133333333333333</v>
      </c>
      <c r="O26" s="159">
        <v>46240</v>
      </c>
      <c r="P26" s="159"/>
      <c r="Q26" s="159">
        <v>46339</v>
      </c>
      <c r="R26" s="159"/>
      <c r="S26" s="159">
        <v>46426</v>
      </c>
      <c r="T26" s="159"/>
      <c r="U26" s="256">
        <f t="shared" si="6"/>
        <v>46487</v>
      </c>
      <c r="V26" s="256">
        <f t="shared" si="7"/>
        <v>46508</v>
      </c>
      <c r="W26" s="159">
        <f t="shared" si="10"/>
        <v>46538</v>
      </c>
      <c r="X26" s="159"/>
      <c r="Y26" s="159">
        <f t="shared" si="11"/>
        <v>46553</v>
      </c>
      <c r="Z26" s="153">
        <f t="shared" si="12"/>
        <v>46563</v>
      </c>
      <c r="AA26" s="286">
        <v>0.15</v>
      </c>
      <c r="AB26" s="91">
        <v>0.15</v>
      </c>
      <c r="AC26" s="91">
        <v>0.15</v>
      </c>
      <c r="AD26" s="91">
        <v>0.15</v>
      </c>
      <c r="AE26" s="286">
        <v>0.2</v>
      </c>
      <c r="AF26" s="284">
        <v>0.2</v>
      </c>
      <c r="AG26" s="275"/>
      <c r="AH26" s="275"/>
      <c r="AI26" s="288"/>
      <c r="AJ26" s="275"/>
      <c r="AK26" s="275"/>
      <c r="AL26" s="285"/>
    </row>
    <row r="27" spans="2:38" ht="27" customHeight="1" thickBot="1">
      <c r="B27" s="141">
        <v>11</v>
      </c>
      <c r="C27" s="147" t="s">
        <v>208</v>
      </c>
      <c r="D27" s="148" t="s">
        <v>142</v>
      </c>
      <c r="E27" s="161" t="s">
        <v>190</v>
      </c>
      <c r="F27" s="162">
        <v>45805</v>
      </c>
      <c r="G27" s="163">
        <v>46043</v>
      </c>
      <c r="H27" s="163">
        <v>46043</v>
      </c>
      <c r="I27" s="163">
        <v>46407</v>
      </c>
      <c r="J27" s="159">
        <v>46568</v>
      </c>
      <c r="K27" s="211">
        <f t="shared" si="9"/>
        <v>17.5</v>
      </c>
      <c r="L27" s="214">
        <v>0.5</v>
      </c>
      <c r="M27" s="216">
        <v>0.3</v>
      </c>
      <c r="N27" s="211">
        <f t="shared" si="0"/>
        <v>10.133333333333333</v>
      </c>
      <c r="O27" s="221" t="s">
        <v>277</v>
      </c>
      <c r="P27" s="159"/>
      <c r="Q27" s="159">
        <v>46320</v>
      </c>
      <c r="R27" s="159"/>
      <c r="S27" s="159">
        <v>46387</v>
      </c>
      <c r="T27" s="159"/>
      <c r="U27" s="256">
        <f t="shared" si="6"/>
        <v>46487</v>
      </c>
      <c r="V27" s="256">
        <f t="shared" si="7"/>
        <v>46508</v>
      </c>
      <c r="W27" s="159">
        <f>Y27-15</f>
        <v>46538</v>
      </c>
      <c r="X27" s="159"/>
      <c r="Y27" s="159">
        <f t="shared" si="11"/>
        <v>46553</v>
      </c>
      <c r="Z27" s="153">
        <f t="shared" si="12"/>
        <v>46563</v>
      </c>
      <c r="AA27" s="90">
        <v>0.25</v>
      </c>
      <c r="AB27" s="91">
        <v>0.25</v>
      </c>
      <c r="AC27" s="91">
        <v>0.25</v>
      </c>
      <c r="AD27" s="91">
        <v>0.25</v>
      </c>
      <c r="AE27" s="286">
        <v>0.3</v>
      </c>
      <c r="AF27" s="284">
        <v>0.3</v>
      </c>
      <c r="AG27" s="288"/>
      <c r="AH27" s="275"/>
      <c r="AI27" s="275"/>
      <c r="AJ27" s="275"/>
      <c r="AK27" s="275"/>
      <c r="AL27" s="285"/>
    </row>
    <row r="28" spans="2:38" ht="27" customHeight="1" thickBot="1">
      <c r="B28" s="141">
        <v>12</v>
      </c>
      <c r="C28" s="160" t="s">
        <v>210</v>
      </c>
      <c r="D28" s="148" t="s">
        <v>162</v>
      </c>
      <c r="E28" s="161" t="s">
        <v>190</v>
      </c>
      <c r="F28" s="162">
        <v>45678</v>
      </c>
      <c r="G28" s="163">
        <v>45712</v>
      </c>
      <c r="H28" s="163">
        <v>45790</v>
      </c>
      <c r="I28" s="163">
        <v>46076</v>
      </c>
      <c r="J28" s="159">
        <v>46568</v>
      </c>
      <c r="K28" s="211">
        <f t="shared" si="9"/>
        <v>25.933333333333334</v>
      </c>
      <c r="L28" s="214">
        <v>1</v>
      </c>
      <c r="M28" s="216">
        <v>0.4</v>
      </c>
      <c r="N28" s="211">
        <f t="shared" si="0"/>
        <v>10.133333333333333</v>
      </c>
      <c r="O28" s="221" t="s">
        <v>277</v>
      </c>
      <c r="P28" s="159"/>
      <c r="Q28" s="159">
        <v>46320</v>
      </c>
      <c r="R28" s="159"/>
      <c r="S28" s="159">
        <v>46387</v>
      </c>
      <c r="T28" s="159"/>
      <c r="U28" s="256">
        <f t="shared" si="6"/>
        <v>46487</v>
      </c>
      <c r="V28" s="256">
        <f t="shared" si="7"/>
        <v>46508</v>
      </c>
      <c r="W28" s="159">
        <f t="shared" si="10"/>
        <v>46538</v>
      </c>
      <c r="X28" s="159"/>
      <c r="Y28" s="159">
        <f t="shared" si="11"/>
        <v>46553</v>
      </c>
      <c r="Z28" s="153">
        <f t="shared" si="12"/>
        <v>46563</v>
      </c>
      <c r="AA28" s="98">
        <v>0.27</v>
      </c>
      <c r="AB28" s="286">
        <v>0.3</v>
      </c>
      <c r="AC28" s="90">
        <v>0.3</v>
      </c>
      <c r="AD28" s="286">
        <v>0.35</v>
      </c>
      <c r="AE28" s="286">
        <v>0.4</v>
      </c>
      <c r="AF28" s="284">
        <v>0.4</v>
      </c>
      <c r="AG28" s="275"/>
      <c r="AH28" s="275"/>
      <c r="AI28" s="275"/>
      <c r="AJ28" s="275"/>
      <c r="AK28" s="275"/>
      <c r="AL28" s="285"/>
    </row>
    <row r="29" spans="2:38" ht="27" customHeight="1" thickBot="1">
      <c r="B29" s="141">
        <v>13</v>
      </c>
      <c r="C29" s="160" t="s">
        <v>196</v>
      </c>
      <c r="D29" s="148" t="s">
        <v>221</v>
      </c>
      <c r="E29" s="161" t="s">
        <v>242</v>
      </c>
      <c r="F29" s="162">
        <v>46092</v>
      </c>
      <c r="G29" s="163">
        <v>46127</v>
      </c>
      <c r="H29" s="163">
        <v>46144</v>
      </c>
      <c r="I29" s="163">
        <v>46582</v>
      </c>
      <c r="J29" s="159">
        <v>46599</v>
      </c>
      <c r="K29" s="211">
        <f t="shared" si="9"/>
        <v>15.166666666666666</v>
      </c>
      <c r="L29" s="214" t="s">
        <v>243</v>
      </c>
      <c r="M29" s="216">
        <v>0.2</v>
      </c>
      <c r="N29" s="211">
        <f>(J29-$C$2)/30</f>
        <v>11.166666666666666</v>
      </c>
      <c r="O29" s="159">
        <v>46264</v>
      </c>
      <c r="P29" s="159"/>
      <c r="Q29" s="159">
        <v>46341</v>
      </c>
      <c r="R29" s="159"/>
      <c r="S29" s="251">
        <v>46446</v>
      </c>
      <c r="T29" s="159"/>
      <c r="U29" s="256">
        <f t="shared" si="6"/>
        <v>46518</v>
      </c>
      <c r="V29" s="256">
        <f t="shared" si="7"/>
        <v>46539</v>
      </c>
      <c r="W29" s="159">
        <f t="shared" si="10"/>
        <v>46569</v>
      </c>
      <c r="X29" s="159"/>
      <c r="Y29" s="159">
        <f t="shared" si="11"/>
        <v>46584</v>
      </c>
      <c r="Z29" s="153">
        <f t="shared" si="12"/>
        <v>46594</v>
      </c>
      <c r="AA29" s="286">
        <v>0.1</v>
      </c>
      <c r="AB29" s="91">
        <v>0.1</v>
      </c>
      <c r="AC29" s="91">
        <v>0.1</v>
      </c>
      <c r="AD29" s="91">
        <v>0.1</v>
      </c>
      <c r="AE29" s="286">
        <v>0.15</v>
      </c>
      <c r="AF29" s="286">
        <v>0.2</v>
      </c>
      <c r="AG29" s="275"/>
      <c r="AH29" s="275"/>
      <c r="AI29" s="275"/>
      <c r="AJ29" s="275"/>
      <c r="AK29" s="275"/>
      <c r="AL29" s="285"/>
    </row>
    <row r="30" spans="2:38" ht="27" customHeight="1" thickBot="1">
      <c r="B30" s="141">
        <v>14</v>
      </c>
      <c r="C30" s="253" t="s">
        <v>184</v>
      </c>
      <c r="D30" s="148" t="s">
        <v>146</v>
      </c>
      <c r="E30" s="161" t="s">
        <v>278</v>
      </c>
      <c r="F30" s="162">
        <v>46078</v>
      </c>
      <c r="G30" s="163">
        <v>46118</v>
      </c>
      <c r="H30" s="163">
        <v>46159</v>
      </c>
      <c r="I30" s="163">
        <v>46482</v>
      </c>
      <c r="J30" s="159">
        <v>46599</v>
      </c>
      <c r="K30" s="211">
        <f t="shared" si="9"/>
        <v>14.666666666666666</v>
      </c>
      <c r="L30" s="214" t="s">
        <v>243</v>
      </c>
      <c r="M30" s="216">
        <v>0.05</v>
      </c>
      <c r="N30" s="211">
        <f t="shared" si="0"/>
        <v>11.166666666666666</v>
      </c>
      <c r="O30" s="159">
        <v>46290</v>
      </c>
      <c r="P30" s="159"/>
      <c r="Q30" s="159">
        <v>46387</v>
      </c>
      <c r="R30" s="159"/>
      <c r="S30" s="251">
        <v>46477</v>
      </c>
      <c r="T30" s="159"/>
      <c r="U30" s="256">
        <f t="shared" si="6"/>
        <v>46518</v>
      </c>
      <c r="V30" s="256">
        <f t="shared" si="7"/>
        <v>46539</v>
      </c>
      <c r="W30" s="159">
        <f t="shared" si="10"/>
        <v>46569</v>
      </c>
      <c r="X30" s="159"/>
      <c r="Y30" s="159">
        <f t="shared" si="11"/>
        <v>46584</v>
      </c>
      <c r="Z30" s="153">
        <f t="shared" si="12"/>
        <v>46594</v>
      </c>
      <c r="AA30" s="91">
        <v>0.05</v>
      </c>
      <c r="AB30" s="91">
        <v>0.05</v>
      </c>
      <c r="AC30" s="91">
        <v>0.05</v>
      </c>
      <c r="AD30" s="91">
        <v>0.05</v>
      </c>
      <c r="AE30" s="91">
        <v>0.05</v>
      </c>
      <c r="AF30" s="91">
        <v>0.05</v>
      </c>
      <c r="AG30" s="275"/>
      <c r="AH30" s="275"/>
      <c r="AI30" s="275"/>
      <c r="AJ30" s="275"/>
      <c r="AK30" s="275"/>
      <c r="AL30" s="285"/>
    </row>
    <row r="31" spans="2:38" ht="27" customHeight="1" thickBot="1">
      <c r="B31" s="141">
        <v>15</v>
      </c>
      <c r="C31" s="147" t="s">
        <v>159</v>
      </c>
      <c r="D31" s="148" t="s">
        <v>146</v>
      </c>
      <c r="E31" s="148" t="s">
        <v>160</v>
      </c>
      <c r="F31" s="149">
        <v>46074</v>
      </c>
      <c r="G31" s="150">
        <v>46118</v>
      </c>
      <c r="H31" s="150">
        <v>46163</v>
      </c>
      <c r="I31" s="150">
        <v>46482</v>
      </c>
      <c r="J31" s="159">
        <v>46599</v>
      </c>
      <c r="K31" s="211">
        <f t="shared" si="9"/>
        <v>14.533333333333333</v>
      </c>
      <c r="L31" s="212" t="s">
        <v>243</v>
      </c>
      <c r="M31" s="213">
        <v>0.15</v>
      </c>
      <c r="N31" s="234">
        <f>(J31-$C$2)/30</f>
        <v>11.166666666666666</v>
      </c>
      <c r="O31" s="159">
        <v>46264</v>
      </c>
      <c r="P31" s="159"/>
      <c r="Q31" s="159">
        <v>46371</v>
      </c>
      <c r="R31" s="159"/>
      <c r="S31" s="251">
        <v>46466</v>
      </c>
      <c r="T31" s="159"/>
      <c r="U31" s="256">
        <f t="shared" si="6"/>
        <v>46518</v>
      </c>
      <c r="V31" s="256">
        <f t="shared" si="7"/>
        <v>46539</v>
      </c>
      <c r="W31" s="159">
        <f t="shared" si="10"/>
        <v>46569</v>
      </c>
      <c r="X31" s="159"/>
      <c r="Y31" s="159">
        <f t="shared" si="11"/>
        <v>46584</v>
      </c>
      <c r="Z31" s="153">
        <f t="shared" si="12"/>
        <v>46594</v>
      </c>
      <c r="AA31" s="85">
        <v>0.05</v>
      </c>
      <c r="AB31" s="91">
        <v>0.05</v>
      </c>
      <c r="AC31" s="91">
        <v>0.05</v>
      </c>
      <c r="AD31" s="286">
        <v>0.1</v>
      </c>
      <c r="AE31" s="284">
        <v>0.1</v>
      </c>
      <c r="AF31" s="286">
        <v>0.15</v>
      </c>
      <c r="AG31" s="275"/>
      <c r="AH31" s="275"/>
      <c r="AI31" s="275"/>
      <c r="AJ31" s="275"/>
      <c r="AK31" s="275"/>
      <c r="AL31" s="285"/>
    </row>
    <row r="32" spans="2:38" ht="27" customHeight="1" thickBot="1">
      <c r="B32" s="141">
        <v>16</v>
      </c>
      <c r="C32" s="160" t="s">
        <v>178</v>
      </c>
      <c r="D32" s="148" t="s">
        <v>179</v>
      </c>
      <c r="E32" s="161" t="s">
        <v>242</v>
      </c>
      <c r="F32" s="162">
        <v>46051</v>
      </c>
      <c r="G32" s="163">
        <v>46068</v>
      </c>
      <c r="H32" s="163">
        <v>46073</v>
      </c>
      <c r="I32" s="163">
        <v>46432</v>
      </c>
      <c r="J32" s="159">
        <v>46599</v>
      </c>
      <c r="K32" s="211">
        <f t="shared" si="1"/>
        <v>17.533333333333335</v>
      </c>
      <c r="L32" s="214" t="s">
        <v>243</v>
      </c>
      <c r="M32" s="216">
        <v>0.2</v>
      </c>
      <c r="N32" s="211">
        <f t="shared" si="0"/>
        <v>11.166666666666666</v>
      </c>
      <c r="O32" s="159">
        <v>46225</v>
      </c>
      <c r="P32" s="159"/>
      <c r="Q32" s="159">
        <v>46300</v>
      </c>
      <c r="R32" s="159"/>
      <c r="S32" s="159">
        <v>46390</v>
      </c>
      <c r="T32" s="159"/>
      <c r="U32" s="256">
        <f t="shared" si="6"/>
        <v>46518</v>
      </c>
      <c r="V32" s="256">
        <f t="shared" si="7"/>
        <v>46539</v>
      </c>
      <c r="W32" s="159">
        <f t="shared" si="4"/>
        <v>46569</v>
      </c>
      <c r="X32" s="159"/>
      <c r="Y32" s="159">
        <f t="shared" si="8"/>
        <v>46584</v>
      </c>
      <c r="Z32" s="153">
        <f t="shared" si="5"/>
        <v>46594</v>
      </c>
      <c r="AA32" s="91">
        <v>0.18</v>
      </c>
      <c r="AB32" s="286">
        <v>0.2</v>
      </c>
      <c r="AC32" s="90">
        <v>0.2</v>
      </c>
      <c r="AD32" s="90">
        <v>0.2</v>
      </c>
      <c r="AE32" s="90">
        <v>0.2</v>
      </c>
      <c r="AF32" s="90">
        <v>0.2</v>
      </c>
      <c r="AG32" s="275"/>
      <c r="AH32" s="275"/>
      <c r="AI32" s="275"/>
      <c r="AJ32" s="275"/>
      <c r="AK32" s="275"/>
      <c r="AL32" s="285"/>
    </row>
    <row r="33" spans="2:38" ht="27" customHeight="1" thickBot="1">
      <c r="B33" s="141">
        <v>17</v>
      </c>
      <c r="C33" s="160" t="s">
        <v>182</v>
      </c>
      <c r="D33" s="252" t="s">
        <v>146</v>
      </c>
      <c r="E33" s="161" t="s">
        <v>242</v>
      </c>
      <c r="F33" s="162">
        <v>46164</v>
      </c>
      <c r="G33" s="163">
        <v>46188</v>
      </c>
      <c r="H33" s="163">
        <v>46177</v>
      </c>
      <c r="I33" s="163">
        <v>46507</v>
      </c>
      <c r="J33" s="159">
        <v>46613</v>
      </c>
      <c r="K33" s="211">
        <f t="shared" si="1"/>
        <v>14.533333333333333</v>
      </c>
      <c r="L33" s="214" t="s">
        <v>243</v>
      </c>
      <c r="M33" s="216">
        <v>0.05</v>
      </c>
      <c r="N33" s="211">
        <f t="shared" si="0"/>
        <v>11.633333333333333</v>
      </c>
      <c r="O33" s="159">
        <v>46265</v>
      </c>
      <c r="P33" s="159"/>
      <c r="Q33" s="159">
        <v>46736</v>
      </c>
      <c r="R33" s="159"/>
      <c r="S33" s="159">
        <v>46459</v>
      </c>
      <c r="T33" s="159"/>
      <c r="U33" s="256">
        <f t="shared" si="6"/>
        <v>46532</v>
      </c>
      <c r="V33" s="256">
        <f t="shared" si="7"/>
        <v>46553</v>
      </c>
      <c r="W33" s="159">
        <f t="shared" si="4"/>
        <v>46583</v>
      </c>
      <c r="X33" s="159"/>
      <c r="Y33" s="159">
        <f t="shared" si="8"/>
        <v>46598</v>
      </c>
      <c r="Z33" s="153">
        <f t="shared" si="5"/>
        <v>46608</v>
      </c>
      <c r="AA33" s="286">
        <v>0.05</v>
      </c>
      <c r="AB33" s="91">
        <v>0.05</v>
      </c>
      <c r="AC33" s="91">
        <v>0.05</v>
      </c>
      <c r="AD33" s="91">
        <v>0.05</v>
      </c>
      <c r="AE33" s="91">
        <v>0.05</v>
      </c>
      <c r="AF33" s="91">
        <v>0.05</v>
      </c>
      <c r="AG33" s="275"/>
      <c r="AH33" s="275"/>
      <c r="AI33" s="275"/>
      <c r="AJ33" s="275"/>
      <c r="AK33" s="275"/>
      <c r="AL33" s="285"/>
    </row>
    <row r="34" spans="2:38" ht="27" customHeight="1" thickBot="1">
      <c r="B34" s="141">
        <v>18</v>
      </c>
      <c r="C34" s="147" t="s">
        <v>161</v>
      </c>
      <c r="D34" s="148" t="s">
        <v>219</v>
      </c>
      <c r="E34" s="148" t="s">
        <v>160</v>
      </c>
      <c r="F34" s="149">
        <v>46112</v>
      </c>
      <c r="G34" s="150">
        <v>46148</v>
      </c>
      <c r="H34" s="150">
        <v>46163</v>
      </c>
      <c r="I34" s="150">
        <v>46604</v>
      </c>
      <c r="J34" s="159">
        <v>46691</v>
      </c>
      <c r="K34" s="211">
        <f>(J34-H34)/30</f>
        <v>17.600000000000001</v>
      </c>
      <c r="L34" s="212" t="s">
        <v>243</v>
      </c>
      <c r="M34" s="213">
        <v>0.15</v>
      </c>
      <c r="N34" s="211">
        <f t="shared" si="0"/>
        <v>14.233333333333333</v>
      </c>
      <c r="O34" s="159">
        <v>46295</v>
      </c>
      <c r="P34" s="159"/>
      <c r="Q34" s="159">
        <v>46387</v>
      </c>
      <c r="R34" s="159"/>
      <c r="S34" s="159">
        <v>46538</v>
      </c>
      <c r="T34" s="159"/>
      <c r="U34" s="256">
        <f t="shared" si="6"/>
        <v>46610</v>
      </c>
      <c r="V34" s="256">
        <f t="shared" si="7"/>
        <v>46631</v>
      </c>
      <c r="W34" s="159">
        <f>Y34-15</f>
        <v>46661</v>
      </c>
      <c r="X34" s="159"/>
      <c r="Y34" s="159">
        <f>J34-15</f>
        <v>46676</v>
      </c>
      <c r="Z34" s="153">
        <f>Y34+10</f>
        <v>46686</v>
      </c>
      <c r="AA34" s="85">
        <v>0.05</v>
      </c>
      <c r="AB34" s="91">
        <v>0.05</v>
      </c>
      <c r="AC34" s="91">
        <v>0.05</v>
      </c>
      <c r="AD34" s="286">
        <v>0.1</v>
      </c>
      <c r="AE34" s="284">
        <v>0.1</v>
      </c>
      <c r="AF34" s="286">
        <v>0.15</v>
      </c>
      <c r="AG34" s="275"/>
      <c r="AH34" s="275"/>
      <c r="AI34" s="275"/>
      <c r="AJ34" s="275"/>
      <c r="AK34" s="275"/>
      <c r="AL34" s="285"/>
    </row>
    <row r="35" spans="2:38" ht="27" customHeight="1">
      <c r="B35" s="261">
        <v>19</v>
      </c>
      <c r="C35" s="262" t="s">
        <v>187</v>
      </c>
      <c r="D35" s="263" t="s">
        <v>171</v>
      </c>
      <c r="E35" s="264" t="s">
        <v>278</v>
      </c>
      <c r="F35" s="265">
        <v>46063</v>
      </c>
      <c r="G35" s="266">
        <v>46148</v>
      </c>
      <c r="H35" s="266">
        <v>46159</v>
      </c>
      <c r="I35" s="266">
        <v>46604</v>
      </c>
      <c r="J35" s="267">
        <v>46691</v>
      </c>
      <c r="K35" s="268">
        <f>(J35-H35)/30</f>
        <v>17.733333333333334</v>
      </c>
      <c r="L35" s="269" t="s">
        <v>243</v>
      </c>
      <c r="M35" s="270">
        <v>0.05</v>
      </c>
      <c r="N35" s="268">
        <f t="shared" si="0"/>
        <v>14.233333333333333</v>
      </c>
      <c r="O35" s="267">
        <v>46280</v>
      </c>
      <c r="P35" s="267"/>
      <c r="Q35" s="267">
        <v>46371</v>
      </c>
      <c r="R35" s="267"/>
      <c r="S35" s="267">
        <v>46522</v>
      </c>
      <c r="T35" s="267"/>
      <c r="U35" s="259">
        <f t="shared" si="6"/>
        <v>46610</v>
      </c>
      <c r="V35" s="259">
        <f t="shared" si="7"/>
        <v>46631</v>
      </c>
      <c r="W35" s="267">
        <f>Y35-15</f>
        <v>46661</v>
      </c>
      <c r="X35" s="267"/>
      <c r="Y35" s="267">
        <f>J35-15</f>
        <v>46676</v>
      </c>
      <c r="Z35" s="271">
        <f>Y35+10</f>
        <v>46686</v>
      </c>
      <c r="AA35" s="291">
        <v>0.05</v>
      </c>
      <c r="AB35" s="291">
        <v>0.05</v>
      </c>
      <c r="AC35" s="291">
        <v>0.05</v>
      </c>
      <c r="AD35" s="291">
        <v>0.05</v>
      </c>
      <c r="AE35" s="291">
        <v>0.05</v>
      </c>
      <c r="AF35" s="291">
        <v>0.05</v>
      </c>
      <c r="AG35" s="292"/>
      <c r="AH35" s="292"/>
      <c r="AI35" s="292"/>
      <c r="AJ35" s="292"/>
      <c r="AK35" s="292"/>
      <c r="AL35" s="293"/>
    </row>
    <row r="36" spans="2:38" ht="27" customHeight="1">
      <c r="B36" s="273">
        <v>20</v>
      </c>
      <c r="C36" s="160" t="s">
        <v>183</v>
      </c>
      <c r="D36" s="254" t="s">
        <v>171</v>
      </c>
      <c r="E36" s="161" t="s">
        <v>242</v>
      </c>
      <c r="F36" s="162">
        <v>46174</v>
      </c>
      <c r="G36" s="163">
        <v>46188</v>
      </c>
      <c r="H36" s="163">
        <v>46177</v>
      </c>
      <c r="I36" s="163">
        <v>46568</v>
      </c>
      <c r="J36" s="159">
        <v>46706</v>
      </c>
      <c r="K36" s="211">
        <f t="shared" si="1"/>
        <v>17.633333333333333</v>
      </c>
      <c r="L36" s="214" t="s">
        <v>243</v>
      </c>
      <c r="M36" s="216">
        <v>0.1</v>
      </c>
      <c r="N36" s="211">
        <f t="shared" si="0"/>
        <v>14.733333333333333</v>
      </c>
      <c r="O36" s="159">
        <v>46285</v>
      </c>
      <c r="P36" s="159"/>
      <c r="Q36" s="159">
        <v>46387</v>
      </c>
      <c r="R36" s="159"/>
      <c r="S36" s="159">
        <v>46537</v>
      </c>
      <c r="T36" s="159"/>
      <c r="U36" s="274">
        <f t="shared" si="6"/>
        <v>46625</v>
      </c>
      <c r="V36" s="274">
        <f t="shared" si="7"/>
        <v>46646</v>
      </c>
      <c r="W36" s="159">
        <f t="shared" si="4"/>
        <v>46676</v>
      </c>
      <c r="X36" s="159"/>
      <c r="Y36" s="159">
        <f t="shared" si="8"/>
        <v>46691</v>
      </c>
      <c r="Z36" s="159">
        <f t="shared" si="5"/>
        <v>46701</v>
      </c>
      <c r="AA36" s="294">
        <v>0.05</v>
      </c>
      <c r="AB36" s="294">
        <v>0.05</v>
      </c>
      <c r="AC36" s="294">
        <v>0.05</v>
      </c>
      <c r="AD36" s="294">
        <v>0.05</v>
      </c>
      <c r="AE36" s="294">
        <v>0.05</v>
      </c>
      <c r="AF36" s="295">
        <v>0.1</v>
      </c>
      <c r="AG36" s="275"/>
      <c r="AH36" s="275"/>
      <c r="AI36" s="275"/>
      <c r="AJ36" s="275"/>
      <c r="AK36" s="275"/>
      <c r="AL36" s="275"/>
    </row>
    <row r="37" spans="2:38" ht="27" customHeight="1">
      <c r="B37" s="273">
        <v>21</v>
      </c>
      <c r="C37" s="160" t="s">
        <v>285</v>
      </c>
      <c r="D37" s="254" t="s">
        <v>179</v>
      </c>
      <c r="E37" s="161"/>
      <c r="F37" s="162"/>
      <c r="G37" s="163">
        <v>46295</v>
      </c>
      <c r="H37" s="163"/>
      <c r="I37" s="163">
        <v>46842</v>
      </c>
      <c r="J37" s="159"/>
      <c r="K37" s="211"/>
      <c r="L37" s="214"/>
      <c r="M37" s="216"/>
      <c r="N37" s="211"/>
      <c r="O37" s="159"/>
      <c r="P37" s="159"/>
      <c r="Q37" s="159"/>
      <c r="R37" s="159"/>
      <c r="S37" s="159"/>
      <c r="T37" s="159"/>
      <c r="U37" s="274"/>
      <c r="V37" s="274"/>
      <c r="W37" s="159"/>
      <c r="X37" s="159"/>
      <c r="Y37" s="159"/>
      <c r="Z37" s="159"/>
      <c r="AA37" s="275"/>
      <c r="AB37" s="275"/>
      <c r="AC37" s="275"/>
      <c r="AD37" s="275"/>
      <c r="AE37" s="275"/>
      <c r="AF37" s="275"/>
      <c r="AG37" s="275"/>
      <c r="AH37" s="275"/>
      <c r="AI37" s="275"/>
      <c r="AJ37" s="275"/>
      <c r="AK37" s="275"/>
      <c r="AL37" s="275"/>
    </row>
    <row r="38" spans="2:38" ht="27" customHeight="1">
      <c r="B38" s="273">
        <v>22</v>
      </c>
      <c r="C38" s="160" t="s">
        <v>282</v>
      </c>
      <c r="D38" s="254" t="s">
        <v>189</v>
      </c>
      <c r="E38" s="161"/>
      <c r="F38" s="162"/>
      <c r="G38" s="163">
        <v>46295</v>
      </c>
      <c r="H38" s="163"/>
      <c r="I38" s="163">
        <v>46842</v>
      </c>
      <c r="J38" s="159"/>
      <c r="K38" s="211"/>
      <c r="L38" s="214"/>
      <c r="M38" s="216"/>
      <c r="N38" s="211"/>
      <c r="O38" s="159"/>
      <c r="P38" s="159"/>
      <c r="Q38" s="159"/>
      <c r="R38" s="159"/>
      <c r="S38" s="159"/>
      <c r="T38" s="159"/>
      <c r="U38" s="274"/>
      <c r="V38" s="274"/>
      <c r="W38" s="159"/>
      <c r="X38" s="159"/>
      <c r="Y38" s="159"/>
      <c r="Z38" s="159"/>
      <c r="AA38" s="275"/>
      <c r="AB38" s="275"/>
      <c r="AC38" s="275"/>
      <c r="AD38" s="275"/>
      <c r="AE38" s="275"/>
      <c r="AF38" s="275"/>
      <c r="AG38" s="275"/>
      <c r="AH38" s="275"/>
      <c r="AI38" s="275"/>
      <c r="AJ38" s="275"/>
      <c r="AK38" s="275"/>
      <c r="AL38" s="275"/>
    </row>
    <row r="39" spans="2:38" ht="27" customHeight="1">
      <c r="B39" s="273">
        <v>23</v>
      </c>
      <c r="C39" s="160" t="s">
        <v>281</v>
      </c>
      <c r="D39" s="254" t="s">
        <v>171</v>
      </c>
      <c r="E39" s="161"/>
      <c r="F39" s="162"/>
      <c r="G39" s="163">
        <v>46295</v>
      </c>
      <c r="H39" s="163"/>
      <c r="I39" s="163">
        <v>46842</v>
      </c>
      <c r="J39" s="159"/>
      <c r="K39" s="211"/>
      <c r="L39" s="214"/>
      <c r="M39" s="216"/>
      <c r="N39" s="211"/>
      <c r="O39" s="159"/>
      <c r="P39" s="159"/>
      <c r="Q39" s="159"/>
      <c r="R39" s="159"/>
      <c r="S39" s="159"/>
      <c r="T39" s="159"/>
      <c r="U39" s="274"/>
      <c r="V39" s="274"/>
      <c r="W39" s="159"/>
      <c r="X39" s="159"/>
      <c r="Y39" s="159"/>
      <c r="Z39" s="159"/>
      <c r="AA39" s="275"/>
      <c r="AB39" s="275"/>
      <c r="AC39" s="275"/>
      <c r="AD39" s="275"/>
      <c r="AE39" s="275"/>
      <c r="AF39" s="275"/>
      <c r="AG39" s="275"/>
      <c r="AH39" s="275"/>
      <c r="AI39" s="275"/>
      <c r="AJ39" s="275"/>
      <c r="AK39" s="275"/>
      <c r="AL39" s="275"/>
    </row>
    <row r="40" spans="2:38" ht="27" customHeight="1">
      <c r="B40" s="273">
        <v>24</v>
      </c>
      <c r="C40" s="160" t="s">
        <v>286</v>
      </c>
      <c r="D40" s="254" t="s">
        <v>199</v>
      </c>
      <c r="E40" s="161"/>
      <c r="F40" s="162"/>
      <c r="G40" s="163">
        <v>46280</v>
      </c>
      <c r="H40" s="163"/>
      <c r="I40" s="163">
        <v>46735</v>
      </c>
      <c r="J40" s="159"/>
      <c r="K40" s="211"/>
      <c r="L40" s="214"/>
      <c r="M40" s="216"/>
      <c r="N40" s="211"/>
      <c r="O40" s="159"/>
      <c r="P40" s="159"/>
      <c r="Q40" s="159"/>
      <c r="R40" s="159"/>
      <c r="S40" s="159"/>
      <c r="T40" s="159"/>
      <c r="U40" s="274"/>
      <c r="V40" s="274"/>
      <c r="W40" s="159"/>
      <c r="X40" s="159"/>
      <c r="Y40" s="159"/>
      <c r="Z40" s="159"/>
      <c r="AA40" s="275"/>
      <c r="AB40" s="275"/>
      <c r="AC40" s="275"/>
      <c r="AD40" s="275"/>
      <c r="AE40" s="275"/>
      <c r="AF40" s="275"/>
      <c r="AG40" s="275"/>
      <c r="AH40" s="275"/>
      <c r="AI40" s="275"/>
      <c r="AJ40" s="275"/>
      <c r="AK40" s="275"/>
      <c r="AL40" s="275"/>
    </row>
    <row r="41" spans="2:38" ht="27" customHeight="1">
      <c r="B41" s="273">
        <v>25</v>
      </c>
      <c r="C41" s="160" t="s">
        <v>283</v>
      </c>
      <c r="D41" s="254" t="s">
        <v>171</v>
      </c>
      <c r="E41" s="161"/>
      <c r="F41" s="162"/>
      <c r="G41" s="163">
        <v>46280</v>
      </c>
      <c r="H41" s="163"/>
      <c r="I41" s="163">
        <v>46826</v>
      </c>
      <c r="J41" s="159"/>
      <c r="K41" s="211"/>
      <c r="L41" s="214"/>
      <c r="M41" s="216"/>
      <c r="N41" s="211"/>
      <c r="O41" s="159"/>
      <c r="P41" s="159"/>
      <c r="Q41" s="159"/>
      <c r="R41" s="159"/>
      <c r="S41" s="159"/>
      <c r="T41" s="159"/>
      <c r="U41" s="274"/>
      <c r="V41" s="274"/>
      <c r="W41" s="159"/>
      <c r="X41" s="159"/>
      <c r="Y41" s="159"/>
      <c r="Z41" s="159"/>
      <c r="AA41" s="275"/>
      <c r="AB41" s="275"/>
      <c r="AC41" s="275"/>
      <c r="AD41" s="275"/>
      <c r="AE41" s="275"/>
      <c r="AF41" s="275"/>
      <c r="AG41" s="275"/>
      <c r="AH41" s="275"/>
      <c r="AI41" s="275"/>
      <c r="AJ41" s="275"/>
      <c r="AK41" s="275"/>
      <c r="AL41" s="275"/>
    </row>
    <row r="42" spans="2:38" ht="39" customHeight="1">
      <c r="B42" s="273">
        <v>26</v>
      </c>
      <c r="C42" s="160" t="s">
        <v>284</v>
      </c>
      <c r="D42" s="254" t="s">
        <v>199</v>
      </c>
      <c r="E42" s="275"/>
      <c r="F42" s="275"/>
      <c r="G42" s="163">
        <v>46280</v>
      </c>
      <c r="H42" s="276"/>
      <c r="I42" s="163">
        <v>46735</v>
      </c>
      <c r="J42" s="277"/>
      <c r="K42" s="277"/>
      <c r="L42" s="278"/>
      <c r="M42" s="276"/>
      <c r="N42" s="276"/>
      <c r="O42" s="277"/>
      <c r="P42" s="277"/>
      <c r="Q42" s="277"/>
      <c r="R42" s="277"/>
      <c r="S42" s="277"/>
      <c r="T42" s="277"/>
      <c r="U42" s="274" t="s">
        <v>243</v>
      </c>
      <c r="V42" s="274" t="s">
        <v>243</v>
      </c>
      <c r="W42" s="277"/>
      <c r="X42" s="277"/>
      <c r="Y42" s="277"/>
      <c r="Z42" s="277"/>
      <c r="AA42" s="275"/>
      <c r="AB42" s="275"/>
      <c r="AC42" s="275"/>
      <c r="AD42" s="275"/>
      <c r="AE42" s="275"/>
      <c r="AF42" s="275"/>
      <c r="AG42" s="275"/>
      <c r="AH42" s="275"/>
      <c r="AI42" s="275"/>
      <c r="AJ42" s="275"/>
      <c r="AK42" s="275"/>
      <c r="AL42" s="275"/>
    </row>
    <row r="43" spans="2:38" ht="39" customHeight="1">
      <c r="B43" s="275"/>
      <c r="C43" s="275"/>
      <c r="D43" s="275"/>
      <c r="E43" s="275"/>
      <c r="F43" s="276"/>
      <c r="G43" s="276"/>
      <c r="H43" s="276"/>
      <c r="I43" s="277"/>
      <c r="J43" s="276"/>
      <c r="K43" s="276"/>
      <c r="L43" s="278"/>
      <c r="M43" s="277"/>
      <c r="N43" s="277"/>
      <c r="O43" s="277"/>
      <c r="P43" s="277"/>
      <c r="Q43" s="277"/>
      <c r="R43" s="277"/>
      <c r="S43" s="277"/>
      <c r="T43" s="277"/>
      <c r="U43" s="274" t="s">
        <v>243</v>
      </c>
      <c r="V43" s="274" t="s">
        <v>243</v>
      </c>
      <c r="W43" s="277"/>
      <c r="X43" s="277"/>
      <c r="Y43" s="277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</row>
    <row r="44" spans="2:38" ht="39" customHeight="1">
      <c r="C44" s="272"/>
      <c r="D44" s="306" t="s">
        <v>261</v>
      </c>
      <c r="E44" s="306"/>
      <c r="F44" s="306"/>
      <c r="G44" s="306"/>
      <c r="H44" s="307" t="s">
        <v>262</v>
      </c>
      <c r="I44" s="307"/>
      <c r="J44" s="307"/>
      <c r="K44" s="308"/>
      <c r="L44" s="309"/>
      <c r="M44" s="138"/>
      <c r="N44" s="138"/>
      <c r="U44" s="260" t="s">
        <v>243</v>
      </c>
      <c r="V44" s="260" t="s">
        <v>243</v>
      </c>
      <c r="Y44" s="66"/>
      <c r="Z44" s="66"/>
    </row>
    <row r="45" spans="2:38" ht="39" customHeight="1">
      <c r="C45" s="174" t="s">
        <v>250</v>
      </c>
      <c r="D45" s="320" t="s">
        <v>273</v>
      </c>
      <c r="E45" s="320"/>
      <c r="F45" s="320"/>
      <c r="G45" s="320"/>
      <c r="H45" s="320" t="s">
        <v>273</v>
      </c>
      <c r="I45" s="320"/>
      <c r="J45" s="320"/>
      <c r="K45" s="321"/>
      <c r="L45" s="322"/>
      <c r="M45" s="138"/>
      <c r="N45" s="138"/>
      <c r="U45" s="260" t="s">
        <v>243</v>
      </c>
      <c r="V45" s="260" t="s">
        <v>243</v>
      </c>
      <c r="Y45" s="66"/>
      <c r="Z45" s="66"/>
    </row>
    <row r="46" spans="2:38" ht="39" customHeight="1">
      <c r="C46" s="174" t="s">
        <v>256</v>
      </c>
      <c r="D46" s="303" t="s">
        <v>274</v>
      </c>
      <c r="E46" s="303"/>
      <c r="F46" s="303"/>
      <c r="G46" s="303"/>
      <c r="H46" s="303" t="s">
        <v>274</v>
      </c>
      <c r="I46" s="303"/>
      <c r="J46" s="303"/>
      <c r="K46" s="304"/>
      <c r="L46" s="305"/>
      <c r="M46" s="138"/>
      <c r="N46" s="138"/>
      <c r="Y46" s="66"/>
      <c r="Z46" s="66"/>
    </row>
    <row r="47" spans="2:38" ht="39" customHeight="1">
      <c r="C47" s="174" t="s">
        <v>252</v>
      </c>
      <c r="D47" s="303" t="s">
        <v>276</v>
      </c>
      <c r="E47" s="303"/>
      <c r="F47" s="303"/>
      <c r="G47" s="303"/>
      <c r="H47" s="303" t="s">
        <v>276</v>
      </c>
      <c r="I47" s="303"/>
      <c r="J47" s="303"/>
      <c r="K47" s="304"/>
      <c r="L47" s="305"/>
      <c r="M47" s="138"/>
      <c r="N47" s="138"/>
      <c r="Y47" s="66"/>
      <c r="Z47" s="66"/>
    </row>
    <row r="48" spans="2:38" ht="39" customHeight="1" thickBot="1">
      <c r="C48" s="175" t="s">
        <v>253</v>
      </c>
      <c r="D48" s="296" t="s">
        <v>275</v>
      </c>
      <c r="E48" s="297"/>
      <c r="F48" s="297"/>
      <c r="G48" s="298"/>
      <c r="H48" s="296" t="s">
        <v>275</v>
      </c>
      <c r="I48" s="297"/>
      <c r="J48" s="297"/>
      <c r="K48" s="297"/>
      <c r="L48" s="299"/>
      <c r="M48" s="138"/>
      <c r="N48" s="138"/>
      <c r="Y48" s="66"/>
      <c r="Z48" s="66"/>
    </row>
  </sheetData>
  <mergeCells count="26">
    <mergeCell ref="L4:M4"/>
    <mergeCell ref="W4:X4"/>
    <mergeCell ref="Y4:Z4"/>
    <mergeCell ref="C2:D2"/>
    <mergeCell ref="D45:G45"/>
    <mergeCell ref="H45:L45"/>
    <mergeCell ref="U4:U5"/>
    <mergeCell ref="V4:V5"/>
    <mergeCell ref="O4:P4"/>
    <mergeCell ref="Q4:R4"/>
    <mergeCell ref="S4:T4"/>
    <mergeCell ref="C3:J3"/>
    <mergeCell ref="D48:G48"/>
    <mergeCell ref="H48:L48"/>
    <mergeCell ref="N4:N5"/>
    <mergeCell ref="K3:N3"/>
    <mergeCell ref="D47:G47"/>
    <mergeCell ref="H47:L47"/>
    <mergeCell ref="D46:G46"/>
    <mergeCell ref="H46:L46"/>
    <mergeCell ref="D44:G44"/>
    <mergeCell ref="H44:L44"/>
    <mergeCell ref="C4:F4"/>
    <mergeCell ref="G4:H4"/>
    <mergeCell ref="I4:J4"/>
    <mergeCell ref="K4:K5"/>
  </mergeCells>
  <printOptions horizontalCentered="1" verticalCentered="1"/>
  <pageMargins left="0.25" right="0.25" top="0.75" bottom="0.75" header="0.3" footer="0.3"/>
  <pageSetup paperSize="8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W42"/>
  <sheetViews>
    <sheetView zoomScale="75" zoomScaleNormal="85" workbookViewId="0">
      <selection activeCell="H15" sqref="H15"/>
    </sheetView>
  </sheetViews>
  <sheetFormatPr defaultColWidth="14.42578125" defaultRowHeight="39" customHeight="1"/>
  <cols>
    <col min="1" max="1" width="9.140625" style="66" customWidth="1"/>
    <col min="2" max="2" width="8.140625" style="66" customWidth="1"/>
    <col min="3" max="3" width="13.42578125" style="66" customWidth="1"/>
    <col min="4" max="5" width="16" style="66" customWidth="1"/>
    <col min="6" max="6" width="16" style="66" hidden="1" customWidth="1"/>
    <col min="7" max="9" width="16" style="79" customWidth="1"/>
    <col min="10" max="11" width="16" style="138" customWidth="1"/>
    <col min="12" max="12" width="13.7109375" style="181" customWidth="1"/>
    <col min="13" max="13" width="13.7109375" style="79" customWidth="1"/>
    <col min="14" max="21" width="12" style="138" customWidth="1"/>
    <col min="22" max="23" width="16" style="138" customWidth="1"/>
    <col min="24" max="16384" width="14.42578125" style="66"/>
  </cols>
  <sheetData>
    <row r="2" spans="1:23" ht="39" customHeight="1" thickBot="1">
      <c r="A2" s="67"/>
      <c r="B2" s="68"/>
      <c r="C2" s="69"/>
      <c r="D2" s="70"/>
      <c r="E2" s="70"/>
      <c r="F2" s="70"/>
      <c r="G2" s="135"/>
      <c r="H2" s="135"/>
      <c r="I2" s="135"/>
      <c r="J2" s="136"/>
      <c r="K2" s="136"/>
      <c r="L2" s="176"/>
      <c r="M2" s="137"/>
      <c r="N2" s="136"/>
      <c r="O2" s="136"/>
      <c r="P2" s="136"/>
      <c r="Q2" s="136"/>
      <c r="R2" s="136"/>
      <c r="S2" s="136"/>
      <c r="T2" s="136"/>
      <c r="U2" s="136"/>
      <c r="V2" s="136"/>
      <c r="W2" s="136"/>
    </row>
    <row r="3" spans="1:23" ht="39" customHeight="1" thickBot="1">
      <c r="A3" s="67"/>
      <c r="B3" s="141"/>
      <c r="C3" s="333" t="s">
        <v>241</v>
      </c>
      <c r="D3" s="333"/>
      <c r="E3" s="333"/>
      <c r="F3" s="333"/>
      <c r="G3" s="189"/>
      <c r="H3" s="142"/>
      <c r="I3" s="142"/>
      <c r="J3" s="142"/>
      <c r="K3" s="142"/>
      <c r="L3" s="177"/>
      <c r="M3" s="143"/>
      <c r="N3" s="142"/>
      <c r="O3" s="142"/>
      <c r="P3" s="142"/>
      <c r="Q3" s="142"/>
      <c r="R3" s="142"/>
      <c r="S3" s="142"/>
      <c r="T3" s="142"/>
      <c r="U3" s="142"/>
      <c r="V3" s="144"/>
      <c r="W3" s="145"/>
    </row>
    <row r="4" spans="1:23" ht="39" customHeight="1" thickBot="1">
      <c r="A4" s="67"/>
      <c r="B4" s="187"/>
      <c r="C4" s="334" t="s">
        <v>227</v>
      </c>
      <c r="D4" s="335"/>
      <c r="E4" s="335"/>
      <c r="F4" s="335"/>
      <c r="G4" s="336" t="s">
        <v>267</v>
      </c>
      <c r="H4" s="337"/>
      <c r="I4" s="336" t="s">
        <v>238</v>
      </c>
      <c r="J4" s="338"/>
      <c r="K4" s="331" t="s">
        <v>266</v>
      </c>
      <c r="L4" s="339" t="s">
        <v>249</v>
      </c>
      <c r="M4" s="340"/>
      <c r="N4" s="341" t="s">
        <v>250</v>
      </c>
      <c r="O4" s="342"/>
      <c r="P4" s="341" t="s">
        <v>251</v>
      </c>
      <c r="Q4" s="342"/>
      <c r="R4" s="341" t="s">
        <v>252</v>
      </c>
      <c r="S4" s="342"/>
      <c r="T4" s="341" t="s">
        <v>253</v>
      </c>
      <c r="U4" s="342"/>
      <c r="V4" s="341"/>
      <c r="W4" s="342"/>
    </row>
    <row r="5" spans="1:23" s="79" customFormat="1" ht="47.1" customHeight="1" thickBot="1">
      <c r="A5" s="74"/>
      <c r="B5" s="188" t="s">
        <v>1</v>
      </c>
      <c r="C5" s="196" t="s">
        <v>2</v>
      </c>
      <c r="D5" s="197" t="s">
        <v>3</v>
      </c>
      <c r="E5" s="197" t="s">
        <v>4</v>
      </c>
      <c r="F5" s="197" t="s">
        <v>5</v>
      </c>
      <c r="G5" s="197" t="s">
        <v>248</v>
      </c>
      <c r="H5" s="197" t="s">
        <v>240</v>
      </c>
      <c r="I5" s="197" t="s">
        <v>248</v>
      </c>
      <c r="J5" s="198" t="s">
        <v>240</v>
      </c>
      <c r="K5" s="332"/>
      <c r="L5" s="208" t="s">
        <v>248</v>
      </c>
      <c r="M5" s="209" t="s">
        <v>240</v>
      </c>
      <c r="N5" s="201" t="s">
        <v>248</v>
      </c>
      <c r="O5" s="202" t="s">
        <v>240</v>
      </c>
      <c r="P5" s="201" t="s">
        <v>248</v>
      </c>
      <c r="Q5" s="202" t="s">
        <v>240</v>
      </c>
      <c r="R5" s="201" t="s">
        <v>248</v>
      </c>
      <c r="S5" s="202" t="s">
        <v>240</v>
      </c>
      <c r="T5" s="201" t="s">
        <v>248</v>
      </c>
      <c r="U5" s="203" t="s">
        <v>240</v>
      </c>
      <c r="V5" s="204" t="s">
        <v>255</v>
      </c>
      <c r="W5" s="205" t="s">
        <v>254</v>
      </c>
    </row>
    <row r="6" spans="1:23" ht="27" customHeight="1">
      <c r="A6" s="67"/>
      <c r="B6" s="146">
        <v>1</v>
      </c>
      <c r="C6" s="190" t="s">
        <v>141</v>
      </c>
      <c r="D6" s="191" t="s">
        <v>142</v>
      </c>
      <c r="E6" s="191" t="s">
        <v>143</v>
      </c>
      <c r="F6" s="192">
        <v>45735</v>
      </c>
      <c r="G6" s="193">
        <v>45753</v>
      </c>
      <c r="H6" s="193">
        <v>45797</v>
      </c>
      <c r="I6" s="193">
        <v>46117</v>
      </c>
      <c r="J6" s="194">
        <v>46356</v>
      </c>
      <c r="K6" s="195">
        <f>(J6-H6)/30</f>
        <v>18.633333333333333</v>
      </c>
      <c r="L6" s="206">
        <v>1</v>
      </c>
      <c r="M6" s="207">
        <v>0.6</v>
      </c>
      <c r="N6" s="199"/>
      <c r="O6" s="200"/>
      <c r="P6" s="199"/>
      <c r="Q6" s="200"/>
      <c r="R6" s="199"/>
      <c r="S6" s="200"/>
      <c r="T6" s="199">
        <f>V6-15</f>
        <v>46312</v>
      </c>
      <c r="U6" s="194"/>
      <c r="V6" s="199">
        <v>46327</v>
      </c>
      <c r="W6" s="200">
        <f>V6+10</f>
        <v>46337</v>
      </c>
    </row>
    <row r="7" spans="1:23" ht="27" customHeight="1">
      <c r="A7" s="67"/>
      <c r="B7" s="146">
        <v>2</v>
      </c>
      <c r="C7" s="147" t="s">
        <v>145</v>
      </c>
      <c r="D7" s="148" t="s">
        <v>146</v>
      </c>
      <c r="E7" s="148" t="s">
        <v>143</v>
      </c>
      <c r="F7" s="149">
        <v>45679</v>
      </c>
      <c r="G7" s="150">
        <v>45712</v>
      </c>
      <c r="H7" s="150">
        <v>45762</v>
      </c>
      <c r="I7" s="150">
        <v>46076</v>
      </c>
      <c r="J7" s="151">
        <v>46265</v>
      </c>
      <c r="K7" s="185">
        <f t="shared" ref="K7:K35" si="0">(J7-H7)/30</f>
        <v>16.766666666666666</v>
      </c>
      <c r="L7" s="178">
        <v>1</v>
      </c>
      <c r="M7" s="84">
        <v>0.92</v>
      </c>
      <c r="N7" s="152"/>
      <c r="O7" s="153"/>
      <c r="P7" s="152"/>
      <c r="Q7" s="153"/>
      <c r="R7" s="152"/>
      <c r="S7" s="153"/>
      <c r="T7" s="152">
        <f t="shared" ref="T7:T34" si="1">V7-15</f>
        <v>46203</v>
      </c>
      <c r="U7" s="151"/>
      <c r="V7" s="152">
        <v>46218</v>
      </c>
      <c r="W7" s="153">
        <f t="shared" ref="W7:W34" si="2">V7+10</f>
        <v>46228</v>
      </c>
    </row>
    <row r="8" spans="1:23" ht="27" customHeight="1">
      <c r="A8" s="67"/>
      <c r="B8" s="146">
        <v>3</v>
      </c>
      <c r="C8" s="147" t="s">
        <v>148</v>
      </c>
      <c r="D8" s="148" t="s">
        <v>149</v>
      </c>
      <c r="E8" s="148" t="s">
        <v>143</v>
      </c>
      <c r="F8" s="149">
        <v>45847</v>
      </c>
      <c r="G8" s="150">
        <v>45893</v>
      </c>
      <c r="H8" s="150">
        <v>45979</v>
      </c>
      <c r="I8" s="150">
        <v>46257</v>
      </c>
      <c r="J8" s="151">
        <v>46387</v>
      </c>
      <c r="K8" s="185">
        <f t="shared" si="0"/>
        <v>13.6</v>
      </c>
      <c r="L8" s="178">
        <v>0.95</v>
      </c>
      <c r="M8" s="84">
        <v>0.4</v>
      </c>
      <c r="N8" s="152"/>
      <c r="O8" s="153"/>
      <c r="P8" s="152"/>
      <c r="Q8" s="153"/>
      <c r="R8" s="152"/>
      <c r="S8" s="153"/>
      <c r="T8" s="152">
        <f t="shared" si="1"/>
        <v>46356</v>
      </c>
      <c r="U8" s="151"/>
      <c r="V8" s="152">
        <v>46371</v>
      </c>
      <c r="W8" s="153">
        <f t="shared" si="2"/>
        <v>46381</v>
      </c>
    </row>
    <row r="9" spans="1:23" ht="27" customHeight="1">
      <c r="A9" s="67"/>
      <c r="B9" s="146">
        <v>4</v>
      </c>
      <c r="C9" s="147" t="s">
        <v>151</v>
      </c>
      <c r="D9" s="148" t="s">
        <v>146</v>
      </c>
      <c r="E9" s="148" t="s">
        <v>143</v>
      </c>
      <c r="F9" s="149">
        <v>45677</v>
      </c>
      <c r="G9" s="150">
        <v>45703</v>
      </c>
      <c r="H9" s="150">
        <v>45765</v>
      </c>
      <c r="I9" s="150">
        <v>46067</v>
      </c>
      <c r="J9" s="151">
        <v>46234</v>
      </c>
      <c r="K9" s="185">
        <f t="shared" si="0"/>
        <v>15.633333333333333</v>
      </c>
      <c r="L9" s="178">
        <v>1</v>
      </c>
      <c r="M9" s="84">
        <v>0.95</v>
      </c>
      <c r="N9" s="152"/>
      <c r="O9" s="153"/>
      <c r="P9" s="152"/>
      <c r="Q9" s="153"/>
      <c r="R9" s="152"/>
      <c r="S9" s="153"/>
      <c r="T9" s="152">
        <f t="shared" si="1"/>
        <v>46204</v>
      </c>
      <c r="U9" s="151"/>
      <c r="V9" s="152">
        <f>J9-15</f>
        <v>46219</v>
      </c>
      <c r="W9" s="153">
        <f t="shared" si="2"/>
        <v>46229</v>
      </c>
    </row>
    <row r="10" spans="1:23" ht="27" customHeight="1">
      <c r="A10" s="67"/>
      <c r="B10" s="146">
        <v>5</v>
      </c>
      <c r="C10" s="147" t="s">
        <v>153</v>
      </c>
      <c r="D10" s="148" t="s">
        <v>146</v>
      </c>
      <c r="E10" s="148" t="s">
        <v>154</v>
      </c>
      <c r="F10" s="149">
        <v>46023</v>
      </c>
      <c r="G10" s="150">
        <v>46073</v>
      </c>
      <c r="H10" s="150">
        <v>46073</v>
      </c>
      <c r="I10" s="150">
        <v>46437</v>
      </c>
      <c r="J10" s="151">
        <v>46568</v>
      </c>
      <c r="K10" s="185">
        <f t="shared" si="0"/>
        <v>16.5</v>
      </c>
      <c r="L10" s="178">
        <v>0.4</v>
      </c>
      <c r="M10" s="84">
        <v>0.15</v>
      </c>
      <c r="N10" s="152"/>
      <c r="O10" s="153"/>
      <c r="P10" s="152"/>
      <c r="Q10" s="153"/>
      <c r="R10" s="152"/>
      <c r="S10" s="153"/>
      <c r="T10" s="152">
        <f t="shared" si="1"/>
        <v>46538</v>
      </c>
      <c r="U10" s="151"/>
      <c r="V10" s="152">
        <f t="shared" ref="V10:V34" si="3">J10-15</f>
        <v>46553</v>
      </c>
      <c r="W10" s="153">
        <f t="shared" si="2"/>
        <v>46563</v>
      </c>
    </row>
    <row r="11" spans="1:23" ht="27" customHeight="1">
      <c r="A11" s="67"/>
      <c r="B11" s="146">
        <v>6</v>
      </c>
      <c r="C11" s="147" t="s">
        <v>156</v>
      </c>
      <c r="D11" s="148" t="s">
        <v>146</v>
      </c>
      <c r="E11" s="148" t="s">
        <v>157</v>
      </c>
      <c r="F11" s="149">
        <v>45829</v>
      </c>
      <c r="G11" s="150">
        <v>45862</v>
      </c>
      <c r="H11" s="150">
        <v>45973</v>
      </c>
      <c r="I11" s="150">
        <v>46226</v>
      </c>
      <c r="J11" s="151">
        <v>46356</v>
      </c>
      <c r="K11" s="185">
        <f t="shared" si="0"/>
        <v>12.766666666666667</v>
      </c>
      <c r="L11" s="178">
        <v>1</v>
      </c>
      <c r="M11" s="84">
        <v>0.45</v>
      </c>
      <c r="N11" s="152"/>
      <c r="O11" s="153"/>
      <c r="P11" s="152"/>
      <c r="Q11" s="153"/>
      <c r="R11" s="152"/>
      <c r="S11" s="153"/>
      <c r="T11" s="152">
        <f t="shared" si="1"/>
        <v>46326</v>
      </c>
      <c r="U11" s="151"/>
      <c r="V11" s="152">
        <f t="shared" si="3"/>
        <v>46341</v>
      </c>
      <c r="W11" s="153">
        <f t="shared" si="2"/>
        <v>46351</v>
      </c>
    </row>
    <row r="12" spans="1:23" ht="27" customHeight="1">
      <c r="A12" s="67"/>
      <c r="B12" s="146">
        <v>7</v>
      </c>
      <c r="C12" s="147" t="s">
        <v>159</v>
      </c>
      <c r="D12" s="148" t="s">
        <v>146</v>
      </c>
      <c r="E12" s="148" t="s">
        <v>160</v>
      </c>
      <c r="F12" s="149">
        <v>46074</v>
      </c>
      <c r="G12" s="150">
        <v>46118</v>
      </c>
      <c r="H12" s="150">
        <v>46163</v>
      </c>
      <c r="I12" s="150">
        <v>46482</v>
      </c>
      <c r="J12" s="151">
        <v>46599</v>
      </c>
      <c r="K12" s="185">
        <f t="shared" si="0"/>
        <v>14.533333333333333</v>
      </c>
      <c r="L12" s="178" t="s">
        <v>243</v>
      </c>
      <c r="M12" s="84">
        <v>0.05</v>
      </c>
      <c r="N12" s="152"/>
      <c r="O12" s="153"/>
      <c r="P12" s="152"/>
      <c r="Q12" s="153"/>
      <c r="R12" s="152"/>
      <c r="S12" s="153"/>
      <c r="T12" s="152">
        <f t="shared" si="1"/>
        <v>46569</v>
      </c>
      <c r="U12" s="151"/>
      <c r="V12" s="152">
        <f t="shared" si="3"/>
        <v>46584</v>
      </c>
      <c r="W12" s="153">
        <f t="shared" si="2"/>
        <v>46594</v>
      </c>
    </row>
    <row r="13" spans="1:23" ht="27" customHeight="1">
      <c r="A13" s="67"/>
      <c r="B13" s="146">
        <v>8</v>
      </c>
      <c r="C13" s="147" t="s">
        <v>161</v>
      </c>
      <c r="D13" s="148" t="s">
        <v>219</v>
      </c>
      <c r="E13" s="148" t="s">
        <v>160</v>
      </c>
      <c r="F13" s="149">
        <v>46112</v>
      </c>
      <c r="G13" s="150">
        <v>46148</v>
      </c>
      <c r="H13" s="150">
        <v>46163</v>
      </c>
      <c r="I13" s="150">
        <v>46604</v>
      </c>
      <c r="J13" s="151">
        <v>46721</v>
      </c>
      <c r="K13" s="185">
        <f t="shared" si="0"/>
        <v>18.600000000000001</v>
      </c>
      <c r="L13" s="178" t="s">
        <v>243</v>
      </c>
      <c r="M13" s="84">
        <v>0.05</v>
      </c>
      <c r="N13" s="152"/>
      <c r="O13" s="153"/>
      <c r="P13" s="152"/>
      <c r="Q13" s="153"/>
      <c r="R13" s="152"/>
      <c r="S13" s="153"/>
      <c r="T13" s="152">
        <f t="shared" si="1"/>
        <v>46691</v>
      </c>
      <c r="U13" s="151"/>
      <c r="V13" s="152">
        <f t="shared" si="3"/>
        <v>46706</v>
      </c>
      <c r="W13" s="153">
        <f t="shared" si="2"/>
        <v>46716</v>
      </c>
    </row>
    <row r="14" spans="1:23" ht="27" customHeight="1">
      <c r="A14" s="67"/>
      <c r="B14" s="146">
        <v>9</v>
      </c>
      <c r="C14" s="147" t="s">
        <v>163</v>
      </c>
      <c r="D14" s="148" t="s">
        <v>149</v>
      </c>
      <c r="E14" s="148" t="s">
        <v>143</v>
      </c>
      <c r="F14" s="149">
        <v>45867</v>
      </c>
      <c r="G14" s="150">
        <v>45893</v>
      </c>
      <c r="H14" s="150">
        <v>45978</v>
      </c>
      <c r="I14" s="150">
        <v>46257</v>
      </c>
      <c r="J14" s="151">
        <v>46446</v>
      </c>
      <c r="K14" s="185">
        <f t="shared" si="0"/>
        <v>15.6</v>
      </c>
      <c r="L14" s="178">
        <v>0.95</v>
      </c>
      <c r="M14" s="84">
        <v>0.38</v>
      </c>
      <c r="N14" s="152"/>
      <c r="O14" s="153"/>
      <c r="P14" s="152"/>
      <c r="Q14" s="153"/>
      <c r="R14" s="152"/>
      <c r="S14" s="153"/>
      <c r="T14" s="152">
        <f t="shared" si="1"/>
        <v>46416</v>
      </c>
      <c r="U14" s="151"/>
      <c r="V14" s="152">
        <f t="shared" si="3"/>
        <v>46431</v>
      </c>
      <c r="W14" s="153">
        <f t="shared" si="2"/>
        <v>46441</v>
      </c>
    </row>
    <row r="15" spans="1:23" ht="27" customHeight="1">
      <c r="A15" s="67"/>
      <c r="B15" s="146">
        <v>10</v>
      </c>
      <c r="C15" s="147" t="s">
        <v>165</v>
      </c>
      <c r="D15" s="148" t="s">
        <v>162</v>
      </c>
      <c r="E15" s="148" t="s">
        <v>143</v>
      </c>
      <c r="F15" s="149">
        <v>45836</v>
      </c>
      <c r="G15" s="150">
        <v>45884</v>
      </c>
      <c r="H15" s="150">
        <v>45979</v>
      </c>
      <c r="I15" s="150">
        <v>46248</v>
      </c>
      <c r="J15" s="151">
        <v>46446</v>
      </c>
      <c r="K15" s="185">
        <f t="shared" si="0"/>
        <v>15.566666666666666</v>
      </c>
      <c r="L15" s="178">
        <v>0.95</v>
      </c>
      <c r="M15" s="84">
        <v>0.3</v>
      </c>
      <c r="N15" s="152"/>
      <c r="O15" s="153"/>
      <c r="P15" s="152"/>
      <c r="Q15" s="153"/>
      <c r="R15" s="152"/>
      <c r="S15" s="153"/>
      <c r="T15" s="152">
        <f t="shared" si="1"/>
        <v>46416</v>
      </c>
      <c r="U15" s="151"/>
      <c r="V15" s="152">
        <f t="shared" si="3"/>
        <v>46431</v>
      </c>
      <c r="W15" s="153">
        <f t="shared" si="2"/>
        <v>46441</v>
      </c>
    </row>
    <row r="16" spans="1:23" ht="27" customHeight="1">
      <c r="A16" s="67"/>
      <c r="B16" s="146">
        <v>11</v>
      </c>
      <c r="C16" s="147" t="s">
        <v>166</v>
      </c>
      <c r="D16" s="148" t="s">
        <v>146</v>
      </c>
      <c r="E16" s="148" t="s">
        <v>143</v>
      </c>
      <c r="F16" s="149">
        <v>45769</v>
      </c>
      <c r="G16" s="150">
        <v>45801</v>
      </c>
      <c r="H16" s="150">
        <v>45797</v>
      </c>
      <c r="I16" s="150">
        <v>46165</v>
      </c>
      <c r="J16" s="151">
        <v>46325</v>
      </c>
      <c r="K16" s="185">
        <f t="shared" si="0"/>
        <v>17.600000000000001</v>
      </c>
      <c r="L16" s="178">
        <v>1</v>
      </c>
      <c r="M16" s="84">
        <v>0.6</v>
      </c>
      <c r="N16" s="152"/>
      <c r="O16" s="153"/>
      <c r="P16" s="152"/>
      <c r="Q16" s="153"/>
      <c r="R16" s="152"/>
      <c r="S16" s="153"/>
      <c r="T16" s="152">
        <f t="shared" si="1"/>
        <v>46295</v>
      </c>
      <c r="U16" s="151"/>
      <c r="V16" s="152">
        <f t="shared" si="3"/>
        <v>46310</v>
      </c>
      <c r="W16" s="153">
        <f t="shared" si="2"/>
        <v>46320</v>
      </c>
    </row>
    <row r="17" spans="1:23" ht="27" customHeight="1">
      <c r="A17" s="67"/>
      <c r="B17" s="146">
        <v>12</v>
      </c>
      <c r="C17" s="147" t="s">
        <v>168</v>
      </c>
      <c r="D17" s="148" t="s">
        <v>146</v>
      </c>
      <c r="E17" s="148" t="s">
        <v>154</v>
      </c>
      <c r="F17" s="149">
        <v>45869</v>
      </c>
      <c r="G17" s="150">
        <v>45906</v>
      </c>
      <c r="H17" s="150">
        <v>46007</v>
      </c>
      <c r="I17" s="150">
        <v>46270</v>
      </c>
      <c r="J17" s="151">
        <v>46507</v>
      </c>
      <c r="K17" s="185">
        <f t="shared" si="0"/>
        <v>16.666666666666668</v>
      </c>
      <c r="L17" s="178">
        <v>0.9</v>
      </c>
      <c r="M17" s="84">
        <v>0.18</v>
      </c>
      <c r="N17" s="152"/>
      <c r="O17" s="153"/>
      <c r="P17" s="152"/>
      <c r="Q17" s="153"/>
      <c r="R17" s="152"/>
      <c r="S17" s="153"/>
      <c r="T17" s="152">
        <f t="shared" si="1"/>
        <v>46477</v>
      </c>
      <c r="U17" s="151"/>
      <c r="V17" s="152">
        <f t="shared" si="3"/>
        <v>46492</v>
      </c>
      <c r="W17" s="153">
        <f t="shared" si="2"/>
        <v>46502</v>
      </c>
    </row>
    <row r="18" spans="1:23" ht="27" customHeight="1">
      <c r="A18" s="67"/>
      <c r="B18" s="146">
        <v>13</v>
      </c>
      <c r="C18" s="147" t="s">
        <v>170</v>
      </c>
      <c r="D18" s="148" t="s">
        <v>171</v>
      </c>
      <c r="E18" s="148" t="s">
        <v>143</v>
      </c>
      <c r="F18" s="149">
        <v>45800</v>
      </c>
      <c r="G18" s="150">
        <v>45832</v>
      </c>
      <c r="H18" s="150">
        <v>45972</v>
      </c>
      <c r="I18" s="150">
        <v>46196</v>
      </c>
      <c r="J18" s="151">
        <v>46446</v>
      </c>
      <c r="K18" s="185">
        <f t="shared" si="0"/>
        <v>15.8</v>
      </c>
      <c r="L18" s="178">
        <v>1</v>
      </c>
      <c r="M18" s="84">
        <v>0.38</v>
      </c>
      <c r="N18" s="152"/>
      <c r="O18" s="153"/>
      <c r="P18" s="152"/>
      <c r="Q18" s="153"/>
      <c r="R18" s="152"/>
      <c r="S18" s="153"/>
      <c r="T18" s="152">
        <f t="shared" si="1"/>
        <v>46416</v>
      </c>
      <c r="U18" s="151"/>
      <c r="V18" s="152">
        <f t="shared" si="3"/>
        <v>46431</v>
      </c>
      <c r="W18" s="153">
        <f t="shared" si="2"/>
        <v>46441</v>
      </c>
    </row>
    <row r="19" spans="1:23" s="101" customFormat="1" ht="27" customHeight="1">
      <c r="B19" s="154">
        <v>14</v>
      </c>
      <c r="C19" s="155" t="s">
        <v>173</v>
      </c>
      <c r="D19" s="156" t="s">
        <v>146</v>
      </c>
      <c r="E19" s="157" t="s">
        <v>143</v>
      </c>
      <c r="F19" s="158">
        <v>45694</v>
      </c>
      <c r="G19" s="159">
        <v>45731</v>
      </c>
      <c r="H19" s="159">
        <v>45764</v>
      </c>
      <c r="I19" s="159">
        <v>46095</v>
      </c>
      <c r="J19" s="151">
        <v>46245</v>
      </c>
      <c r="K19" s="185">
        <f t="shared" si="0"/>
        <v>16.033333333333335</v>
      </c>
      <c r="L19" s="179">
        <v>1</v>
      </c>
      <c r="M19" s="139">
        <v>0.8</v>
      </c>
      <c r="N19" s="152"/>
      <c r="O19" s="153"/>
      <c r="P19" s="152"/>
      <c r="Q19" s="153"/>
      <c r="R19" s="152"/>
      <c r="S19" s="153"/>
      <c r="T19" s="152">
        <f t="shared" si="1"/>
        <v>46215</v>
      </c>
      <c r="U19" s="151"/>
      <c r="V19" s="152">
        <f t="shared" si="3"/>
        <v>46230</v>
      </c>
      <c r="W19" s="153">
        <f t="shared" si="2"/>
        <v>46240</v>
      </c>
    </row>
    <row r="20" spans="1:23" ht="27" customHeight="1">
      <c r="A20" s="67"/>
      <c r="B20" s="146">
        <v>15</v>
      </c>
      <c r="C20" s="147" t="s">
        <v>176</v>
      </c>
      <c r="D20" s="148" t="s">
        <v>146</v>
      </c>
      <c r="E20" s="148" t="s">
        <v>154</v>
      </c>
      <c r="F20" s="149">
        <v>45957</v>
      </c>
      <c r="G20" s="150">
        <v>46077</v>
      </c>
      <c r="H20" s="150">
        <v>46073</v>
      </c>
      <c r="I20" s="150">
        <v>46441</v>
      </c>
      <c r="J20" s="151">
        <v>46568</v>
      </c>
      <c r="K20" s="185">
        <f t="shared" si="0"/>
        <v>16.5</v>
      </c>
      <c r="L20" s="178">
        <v>0.4</v>
      </c>
      <c r="M20" s="84">
        <v>0.15</v>
      </c>
      <c r="N20" s="152"/>
      <c r="O20" s="153"/>
      <c r="P20" s="152"/>
      <c r="Q20" s="153"/>
      <c r="R20" s="152"/>
      <c r="S20" s="153"/>
      <c r="T20" s="152">
        <f t="shared" si="1"/>
        <v>46538</v>
      </c>
      <c r="U20" s="151"/>
      <c r="V20" s="152">
        <f t="shared" si="3"/>
        <v>46553</v>
      </c>
      <c r="W20" s="153">
        <f t="shared" si="2"/>
        <v>46563</v>
      </c>
    </row>
    <row r="21" spans="1:23" ht="27" customHeight="1">
      <c r="A21" s="67"/>
      <c r="B21" s="146">
        <v>16</v>
      </c>
      <c r="C21" s="160" t="s">
        <v>178</v>
      </c>
      <c r="D21" s="148" t="s">
        <v>179</v>
      </c>
      <c r="E21" s="161" t="s">
        <v>242</v>
      </c>
      <c r="F21" s="162">
        <v>46051</v>
      </c>
      <c r="G21" s="163">
        <v>46068</v>
      </c>
      <c r="H21" s="163">
        <v>46073</v>
      </c>
      <c r="I21" s="163">
        <v>46432</v>
      </c>
      <c r="J21" s="151">
        <v>46630</v>
      </c>
      <c r="K21" s="185">
        <f t="shared" si="0"/>
        <v>18.566666666666666</v>
      </c>
      <c r="L21" s="179" t="s">
        <v>243</v>
      </c>
      <c r="M21" s="90">
        <v>0.18</v>
      </c>
      <c r="N21" s="152"/>
      <c r="O21" s="153"/>
      <c r="P21" s="152"/>
      <c r="Q21" s="153"/>
      <c r="R21" s="152"/>
      <c r="S21" s="153"/>
      <c r="T21" s="152">
        <f t="shared" si="1"/>
        <v>46600</v>
      </c>
      <c r="U21" s="151"/>
      <c r="V21" s="152">
        <f t="shared" si="3"/>
        <v>46615</v>
      </c>
      <c r="W21" s="153">
        <f t="shared" si="2"/>
        <v>46625</v>
      </c>
    </row>
    <row r="22" spans="1:23" ht="27" customHeight="1">
      <c r="A22" s="67"/>
      <c r="B22" s="146">
        <v>17</v>
      </c>
      <c r="C22" s="160" t="s">
        <v>182</v>
      </c>
      <c r="D22" s="148" t="s">
        <v>220</v>
      </c>
      <c r="E22" s="161" t="s">
        <v>242</v>
      </c>
      <c r="F22" s="162">
        <v>46164</v>
      </c>
      <c r="G22" s="163">
        <v>46188</v>
      </c>
      <c r="H22" s="163">
        <v>46177</v>
      </c>
      <c r="I22" s="163">
        <v>46507</v>
      </c>
      <c r="J22" s="151">
        <v>46644</v>
      </c>
      <c r="K22" s="185">
        <f t="shared" si="0"/>
        <v>15.566666666666666</v>
      </c>
      <c r="L22" s="179" t="s">
        <v>243</v>
      </c>
      <c r="M22" s="90">
        <v>0.02</v>
      </c>
      <c r="N22" s="152"/>
      <c r="O22" s="153"/>
      <c r="P22" s="152"/>
      <c r="Q22" s="153"/>
      <c r="R22" s="152"/>
      <c r="S22" s="153"/>
      <c r="T22" s="152">
        <f t="shared" si="1"/>
        <v>46614</v>
      </c>
      <c r="U22" s="151"/>
      <c r="V22" s="152">
        <f t="shared" si="3"/>
        <v>46629</v>
      </c>
      <c r="W22" s="153">
        <f t="shared" si="2"/>
        <v>46639</v>
      </c>
    </row>
    <row r="23" spans="1:23" ht="27" customHeight="1">
      <c r="A23" s="67"/>
      <c r="B23" s="146">
        <v>18</v>
      </c>
      <c r="C23" s="160" t="s">
        <v>183</v>
      </c>
      <c r="D23" s="148" t="s">
        <v>171</v>
      </c>
      <c r="E23" s="161" t="s">
        <v>242</v>
      </c>
      <c r="F23" s="162">
        <v>46174</v>
      </c>
      <c r="G23" s="163">
        <v>46188</v>
      </c>
      <c r="H23" s="163">
        <v>46177</v>
      </c>
      <c r="I23" s="163">
        <v>46568</v>
      </c>
      <c r="J23" s="151">
        <v>46736</v>
      </c>
      <c r="K23" s="185">
        <f t="shared" si="0"/>
        <v>18.633333333333333</v>
      </c>
      <c r="L23" s="179" t="s">
        <v>243</v>
      </c>
      <c r="M23" s="90">
        <v>0.05</v>
      </c>
      <c r="N23" s="152"/>
      <c r="O23" s="153"/>
      <c r="P23" s="152"/>
      <c r="Q23" s="153"/>
      <c r="R23" s="152"/>
      <c r="S23" s="153"/>
      <c r="T23" s="152">
        <f t="shared" si="1"/>
        <v>46706</v>
      </c>
      <c r="U23" s="151"/>
      <c r="V23" s="152">
        <f t="shared" si="3"/>
        <v>46721</v>
      </c>
      <c r="W23" s="153">
        <f t="shared" si="2"/>
        <v>46731</v>
      </c>
    </row>
    <row r="24" spans="1:23" ht="27" customHeight="1">
      <c r="A24" s="67"/>
      <c r="B24" s="146">
        <v>19</v>
      </c>
      <c r="C24" s="160" t="s">
        <v>184</v>
      </c>
      <c r="D24" s="148" t="s">
        <v>146</v>
      </c>
      <c r="E24" s="161" t="s">
        <v>185</v>
      </c>
      <c r="F24" s="162">
        <v>46078</v>
      </c>
      <c r="G24" s="163">
        <v>46118</v>
      </c>
      <c r="H24" s="163">
        <v>46159</v>
      </c>
      <c r="I24" s="163">
        <v>46482</v>
      </c>
      <c r="J24" s="151">
        <v>46599</v>
      </c>
      <c r="K24" s="185">
        <f t="shared" si="0"/>
        <v>14.666666666666666</v>
      </c>
      <c r="L24" s="179" t="s">
        <v>243</v>
      </c>
      <c r="M24" s="90">
        <v>0.05</v>
      </c>
      <c r="N24" s="152"/>
      <c r="O24" s="153"/>
      <c r="P24" s="152"/>
      <c r="Q24" s="153"/>
      <c r="R24" s="152"/>
      <c r="S24" s="153"/>
      <c r="T24" s="152">
        <f t="shared" si="1"/>
        <v>46569</v>
      </c>
      <c r="U24" s="151"/>
      <c r="V24" s="152">
        <f t="shared" si="3"/>
        <v>46584</v>
      </c>
      <c r="W24" s="153">
        <f t="shared" si="2"/>
        <v>46594</v>
      </c>
    </row>
    <row r="25" spans="1:23" ht="27" customHeight="1">
      <c r="A25" s="67"/>
      <c r="B25" s="146">
        <v>20</v>
      </c>
      <c r="C25" s="160" t="s">
        <v>187</v>
      </c>
      <c r="D25" s="148" t="s">
        <v>171</v>
      </c>
      <c r="E25" s="161" t="s">
        <v>185</v>
      </c>
      <c r="F25" s="162">
        <v>46063</v>
      </c>
      <c r="G25" s="163">
        <v>46148</v>
      </c>
      <c r="H25" s="163">
        <v>46159</v>
      </c>
      <c r="I25" s="163">
        <v>46604</v>
      </c>
      <c r="J25" s="151">
        <v>46721</v>
      </c>
      <c r="K25" s="185">
        <f t="shared" si="0"/>
        <v>18.733333333333334</v>
      </c>
      <c r="L25" s="179" t="s">
        <v>243</v>
      </c>
      <c r="M25" s="90">
        <v>0.05</v>
      </c>
      <c r="N25" s="152"/>
      <c r="O25" s="153"/>
      <c r="P25" s="152"/>
      <c r="Q25" s="153"/>
      <c r="R25" s="152"/>
      <c r="S25" s="153"/>
      <c r="T25" s="152">
        <f t="shared" si="1"/>
        <v>46691</v>
      </c>
      <c r="U25" s="151"/>
      <c r="V25" s="152">
        <f t="shared" si="3"/>
        <v>46706</v>
      </c>
      <c r="W25" s="153">
        <f t="shared" si="2"/>
        <v>46716</v>
      </c>
    </row>
    <row r="26" spans="1:23" ht="27" customHeight="1">
      <c r="A26" s="67"/>
      <c r="B26" s="146">
        <v>21</v>
      </c>
      <c r="C26" s="160" t="s">
        <v>188</v>
      </c>
      <c r="D26" s="148" t="s">
        <v>189</v>
      </c>
      <c r="E26" s="161" t="s">
        <v>190</v>
      </c>
      <c r="F26" s="162">
        <v>45777</v>
      </c>
      <c r="G26" s="163">
        <v>45814</v>
      </c>
      <c r="H26" s="163">
        <v>45814</v>
      </c>
      <c r="I26" s="163">
        <v>46178</v>
      </c>
      <c r="J26" s="151">
        <v>46310</v>
      </c>
      <c r="K26" s="185">
        <f t="shared" si="0"/>
        <v>16.533333333333335</v>
      </c>
      <c r="L26" s="179">
        <v>1</v>
      </c>
      <c r="M26" s="90">
        <v>0.85</v>
      </c>
      <c r="N26" s="152"/>
      <c r="O26" s="153"/>
      <c r="P26" s="152"/>
      <c r="Q26" s="153"/>
      <c r="R26" s="152"/>
      <c r="S26" s="153"/>
      <c r="T26" s="152">
        <f t="shared" si="1"/>
        <v>46280</v>
      </c>
      <c r="U26" s="151"/>
      <c r="V26" s="152">
        <f t="shared" si="3"/>
        <v>46295</v>
      </c>
      <c r="W26" s="153">
        <f t="shared" si="2"/>
        <v>46305</v>
      </c>
    </row>
    <row r="27" spans="1:23" ht="27" customHeight="1">
      <c r="A27" s="67"/>
      <c r="B27" s="146">
        <v>22</v>
      </c>
      <c r="C27" s="160" t="s">
        <v>192</v>
      </c>
      <c r="D27" s="148" t="s">
        <v>193</v>
      </c>
      <c r="E27" s="161" t="s">
        <v>190</v>
      </c>
      <c r="F27" s="162">
        <v>45681</v>
      </c>
      <c r="G27" s="163">
        <v>45712</v>
      </c>
      <c r="H27" s="163">
        <v>45792</v>
      </c>
      <c r="I27" s="163">
        <v>46076</v>
      </c>
      <c r="J27" s="151">
        <v>46295</v>
      </c>
      <c r="K27" s="185">
        <f t="shared" si="0"/>
        <v>16.766666666666666</v>
      </c>
      <c r="L27" s="179">
        <v>1</v>
      </c>
      <c r="M27" s="90">
        <v>0.9</v>
      </c>
      <c r="N27" s="152"/>
      <c r="O27" s="153"/>
      <c r="P27" s="152"/>
      <c r="Q27" s="153"/>
      <c r="R27" s="152"/>
      <c r="S27" s="153"/>
      <c r="T27" s="152">
        <f t="shared" si="1"/>
        <v>46265</v>
      </c>
      <c r="U27" s="151"/>
      <c r="V27" s="152">
        <f t="shared" si="3"/>
        <v>46280</v>
      </c>
      <c r="W27" s="153">
        <f t="shared" si="2"/>
        <v>46290</v>
      </c>
    </row>
    <row r="28" spans="1:23" ht="27" customHeight="1">
      <c r="A28" s="67"/>
      <c r="B28" s="146">
        <v>23</v>
      </c>
      <c r="C28" s="160" t="s">
        <v>195</v>
      </c>
      <c r="D28" s="148" t="s">
        <v>189</v>
      </c>
      <c r="E28" s="161" t="s">
        <v>190</v>
      </c>
      <c r="F28" s="162">
        <v>45799</v>
      </c>
      <c r="G28" s="163">
        <v>45823</v>
      </c>
      <c r="H28" s="163">
        <v>45817</v>
      </c>
      <c r="I28" s="163">
        <v>46187</v>
      </c>
      <c r="J28" s="151">
        <v>46387</v>
      </c>
      <c r="K28" s="185">
        <f t="shared" si="0"/>
        <v>19</v>
      </c>
      <c r="L28" s="179">
        <v>1</v>
      </c>
      <c r="M28" s="90">
        <v>0.75</v>
      </c>
      <c r="N28" s="152"/>
      <c r="O28" s="153"/>
      <c r="P28" s="152"/>
      <c r="Q28" s="153"/>
      <c r="R28" s="152"/>
      <c r="S28" s="153"/>
      <c r="T28" s="152">
        <f t="shared" si="1"/>
        <v>46357</v>
      </c>
      <c r="U28" s="151"/>
      <c r="V28" s="152">
        <f t="shared" si="3"/>
        <v>46372</v>
      </c>
      <c r="W28" s="153">
        <f t="shared" si="2"/>
        <v>46382</v>
      </c>
    </row>
    <row r="29" spans="1:23" ht="27" customHeight="1">
      <c r="A29" s="67"/>
      <c r="B29" s="146">
        <v>24</v>
      </c>
      <c r="C29" s="160" t="s">
        <v>196</v>
      </c>
      <c r="D29" s="148" t="s">
        <v>221</v>
      </c>
      <c r="E29" s="161" t="s">
        <v>242</v>
      </c>
      <c r="F29" s="162">
        <v>46092</v>
      </c>
      <c r="G29" s="163">
        <v>46127</v>
      </c>
      <c r="H29" s="163">
        <v>46144</v>
      </c>
      <c r="I29" s="163">
        <v>46582</v>
      </c>
      <c r="J29" s="151">
        <v>46599</v>
      </c>
      <c r="K29" s="185">
        <f t="shared" si="0"/>
        <v>15.166666666666666</v>
      </c>
      <c r="L29" s="179" t="s">
        <v>243</v>
      </c>
      <c r="M29" s="90">
        <v>0.05</v>
      </c>
      <c r="N29" s="152"/>
      <c r="O29" s="153"/>
      <c r="P29" s="152"/>
      <c r="Q29" s="153"/>
      <c r="R29" s="152"/>
      <c r="S29" s="153"/>
      <c r="T29" s="152">
        <f t="shared" si="1"/>
        <v>46569</v>
      </c>
      <c r="U29" s="151"/>
      <c r="V29" s="152">
        <f t="shared" si="3"/>
        <v>46584</v>
      </c>
      <c r="W29" s="153">
        <f t="shared" si="2"/>
        <v>46594</v>
      </c>
    </row>
    <row r="30" spans="1:23" ht="27" customHeight="1">
      <c r="A30" s="67"/>
      <c r="B30" s="146">
        <v>25</v>
      </c>
      <c r="C30" s="160" t="s">
        <v>198</v>
      </c>
      <c r="D30" s="161" t="s">
        <v>199</v>
      </c>
      <c r="E30" s="161" t="s">
        <v>190</v>
      </c>
      <c r="F30" s="162">
        <v>45819</v>
      </c>
      <c r="G30" s="163">
        <v>45832</v>
      </c>
      <c r="H30" s="163">
        <v>45984</v>
      </c>
      <c r="I30" s="163">
        <v>46196</v>
      </c>
      <c r="J30" s="151">
        <v>46433</v>
      </c>
      <c r="K30" s="185">
        <f t="shared" si="0"/>
        <v>14.966666666666667</v>
      </c>
      <c r="L30" s="179">
        <v>1</v>
      </c>
      <c r="M30" s="90">
        <v>0.48</v>
      </c>
      <c r="N30" s="152"/>
      <c r="O30" s="153"/>
      <c r="P30" s="152"/>
      <c r="Q30" s="153"/>
      <c r="R30" s="152"/>
      <c r="S30" s="153"/>
      <c r="T30" s="152">
        <f t="shared" si="1"/>
        <v>46403</v>
      </c>
      <c r="U30" s="151"/>
      <c r="V30" s="152">
        <f t="shared" si="3"/>
        <v>46418</v>
      </c>
      <c r="W30" s="153">
        <f t="shared" si="2"/>
        <v>46428</v>
      </c>
    </row>
    <row r="31" spans="1:23" ht="27" customHeight="1">
      <c r="A31" s="67"/>
      <c r="B31" s="146">
        <v>26</v>
      </c>
      <c r="C31" s="160" t="s">
        <v>201</v>
      </c>
      <c r="D31" s="148" t="s">
        <v>220</v>
      </c>
      <c r="E31" s="161" t="s">
        <v>242</v>
      </c>
      <c r="F31" s="162">
        <v>46097</v>
      </c>
      <c r="G31" s="163">
        <v>46136</v>
      </c>
      <c r="H31" s="163">
        <v>46155</v>
      </c>
      <c r="I31" s="163">
        <v>46500</v>
      </c>
      <c r="J31" s="151">
        <v>46568</v>
      </c>
      <c r="K31" s="185">
        <f t="shared" si="0"/>
        <v>13.766666666666667</v>
      </c>
      <c r="L31" s="179" t="s">
        <v>243</v>
      </c>
      <c r="M31" s="90">
        <v>0.1</v>
      </c>
      <c r="N31" s="152"/>
      <c r="O31" s="153"/>
      <c r="P31" s="152"/>
      <c r="Q31" s="153"/>
      <c r="R31" s="152"/>
      <c r="S31" s="153"/>
      <c r="T31" s="152">
        <f t="shared" si="1"/>
        <v>46538</v>
      </c>
      <c r="U31" s="151"/>
      <c r="V31" s="152">
        <f t="shared" si="3"/>
        <v>46553</v>
      </c>
      <c r="W31" s="153">
        <f t="shared" si="2"/>
        <v>46563</v>
      </c>
    </row>
    <row r="32" spans="1:23" ht="27" customHeight="1">
      <c r="A32" s="67"/>
      <c r="B32" s="146">
        <v>27</v>
      </c>
      <c r="C32" s="160" t="s">
        <v>203</v>
      </c>
      <c r="D32" s="148" t="s">
        <v>193</v>
      </c>
      <c r="E32" s="161" t="s">
        <v>242</v>
      </c>
      <c r="F32" s="162">
        <v>46097</v>
      </c>
      <c r="G32" s="163">
        <v>46136</v>
      </c>
      <c r="H32" s="163">
        <v>46155</v>
      </c>
      <c r="I32" s="163">
        <v>46500</v>
      </c>
      <c r="J32" s="151">
        <v>46538</v>
      </c>
      <c r="K32" s="185">
        <f t="shared" si="0"/>
        <v>12.766666666666667</v>
      </c>
      <c r="L32" s="179" t="s">
        <v>243</v>
      </c>
      <c r="M32" s="90">
        <v>0.05</v>
      </c>
      <c r="N32" s="152"/>
      <c r="O32" s="153"/>
      <c r="P32" s="152"/>
      <c r="Q32" s="153"/>
      <c r="R32" s="152"/>
      <c r="S32" s="153"/>
      <c r="T32" s="152">
        <f t="shared" si="1"/>
        <v>46508</v>
      </c>
      <c r="U32" s="151"/>
      <c r="V32" s="152">
        <f t="shared" si="3"/>
        <v>46523</v>
      </c>
      <c r="W32" s="153">
        <f t="shared" si="2"/>
        <v>46533</v>
      </c>
    </row>
    <row r="33" spans="1:23" ht="27" customHeight="1">
      <c r="A33" s="67"/>
      <c r="B33" s="146">
        <v>28</v>
      </c>
      <c r="C33" s="160" t="s">
        <v>204</v>
      </c>
      <c r="D33" s="148" t="s">
        <v>205</v>
      </c>
      <c r="E33" s="161" t="s">
        <v>190</v>
      </c>
      <c r="F33" s="162">
        <v>45920</v>
      </c>
      <c r="G33" s="163">
        <v>45814</v>
      </c>
      <c r="H33" s="163">
        <v>45792</v>
      </c>
      <c r="I33" s="163">
        <v>46239</v>
      </c>
      <c r="J33" s="151">
        <v>46477</v>
      </c>
      <c r="K33" s="185">
        <f t="shared" si="0"/>
        <v>22.833333333333332</v>
      </c>
      <c r="L33" s="179">
        <v>1</v>
      </c>
      <c r="M33" s="90">
        <v>0.45</v>
      </c>
      <c r="N33" s="152"/>
      <c r="O33" s="153"/>
      <c r="P33" s="152"/>
      <c r="Q33" s="153"/>
      <c r="R33" s="152"/>
      <c r="S33" s="153"/>
      <c r="T33" s="152">
        <f t="shared" si="1"/>
        <v>46447</v>
      </c>
      <c r="U33" s="151"/>
      <c r="V33" s="152">
        <f t="shared" si="3"/>
        <v>46462</v>
      </c>
      <c r="W33" s="153">
        <f t="shared" si="2"/>
        <v>46472</v>
      </c>
    </row>
    <row r="34" spans="1:23" ht="27" customHeight="1">
      <c r="A34" s="67"/>
      <c r="B34" s="146">
        <v>29</v>
      </c>
      <c r="C34" s="147" t="s">
        <v>208</v>
      </c>
      <c r="D34" s="148" t="s">
        <v>142</v>
      </c>
      <c r="E34" s="161" t="s">
        <v>190</v>
      </c>
      <c r="F34" s="162">
        <v>45805</v>
      </c>
      <c r="G34" s="163">
        <v>46043</v>
      </c>
      <c r="H34" s="163">
        <v>46043</v>
      </c>
      <c r="I34" s="163">
        <v>46407</v>
      </c>
      <c r="J34" s="151">
        <v>46568</v>
      </c>
      <c r="K34" s="185">
        <f t="shared" si="0"/>
        <v>17.5</v>
      </c>
      <c r="L34" s="179">
        <v>0.5</v>
      </c>
      <c r="M34" s="90">
        <v>0.25</v>
      </c>
      <c r="N34" s="152"/>
      <c r="O34" s="153"/>
      <c r="P34" s="152"/>
      <c r="Q34" s="153"/>
      <c r="R34" s="152"/>
      <c r="S34" s="153"/>
      <c r="T34" s="152">
        <f t="shared" si="1"/>
        <v>46538</v>
      </c>
      <c r="U34" s="151"/>
      <c r="V34" s="152">
        <f t="shared" si="3"/>
        <v>46553</v>
      </c>
      <c r="W34" s="153">
        <f t="shared" si="2"/>
        <v>46563</v>
      </c>
    </row>
    <row r="35" spans="1:23" ht="27" customHeight="1" thickBot="1">
      <c r="A35" s="67"/>
      <c r="B35" s="164">
        <v>30</v>
      </c>
      <c r="C35" s="165" t="s">
        <v>210</v>
      </c>
      <c r="D35" s="166" t="s">
        <v>162</v>
      </c>
      <c r="E35" s="167" t="s">
        <v>190</v>
      </c>
      <c r="F35" s="168">
        <v>45678</v>
      </c>
      <c r="G35" s="169">
        <v>45712</v>
      </c>
      <c r="H35" s="169">
        <v>45790</v>
      </c>
      <c r="I35" s="169">
        <v>46076</v>
      </c>
      <c r="J35" s="170">
        <v>46568</v>
      </c>
      <c r="K35" s="186">
        <f t="shared" si="0"/>
        <v>25.933333333333334</v>
      </c>
      <c r="L35" s="180">
        <v>1</v>
      </c>
      <c r="M35" s="98">
        <v>0.27</v>
      </c>
      <c r="N35" s="171"/>
      <c r="O35" s="172"/>
      <c r="P35" s="171"/>
      <c r="Q35" s="172"/>
      <c r="R35" s="171"/>
      <c r="S35" s="172"/>
      <c r="T35" s="171">
        <f>V35-15</f>
        <v>46538</v>
      </c>
      <c r="U35" s="170"/>
      <c r="V35" s="171">
        <f>J35-15</f>
        <v>46553</v>
      </c>
      <c r="W35" s="172">
        <f>V35+10</f>
        <v>46563</v>
      </c>
    </row>
    <row r="37" spans="1:23" ht="39" customHeight="1" thickBot="1">
      <c r="F37" s="79"/>
      <c r="I37" s="138"/>
      <c r="J37" s="79"/>
      <c r="K37" s="79"/>
      <c r="M37" s="138"/>
      <c r="W37" s="66"/>
    </row>
    <row r="38" spans="1:23" ht="39" customHeight="1">
      <c r="C38" s="173"/>
      <c r="D38" s="327" t="s">
        <v>261</v>
      </c>
      <c r="E38" s="327"/>
      <c r="F38" s="327"/>
      <c r="G38" s="327"/>
      <c r="H38" s="328" t="s">
        <v>262</v>
      </c>
      <c r="I38" s="328"/>
      <c r="J38" s="328"/>
      <c r="K38" s="329"/>
      <c r="L38" s="330"/>
      <c r="M38" s="138"/>
      <c r="V38" s="66"/>
      <c r="W38" s="66"/>
    </row>
    <row r="39" spans="1:23" ht="39" customHeight="1">
      <c r="C39" s="174" t="s">
        <v>250</v>
      </c>
      <c r="D39" s="320" t="s">
        <v>257</v>
      </c>
      <c r="E39" s="320"/>
      <c r="F39" s="320"/>
      <c r="G39" s="320"/>
      <c r="H39" s="320" t="s">
        <v>257</v>
      </c>
      <c r="I39" s="320"/>
      <c r="J39" s="320"/>
      <c r="K39" s="321"/>
      <c r="L39" s="322"/>
      <c r="M39" s="138"/>
      <c r="V39" s="66"/>
      <c r="W39" s="66"/>
    </row>
    <row r="40" spans="1:23" ht="39" customHeight="1">
      <c r="C40" s="174" t="s">
        <v>256</v>
      </c>
      <c r="D40" s="303" t="s">
        <v>260</v>
      </c>
      <c r="E40" s="303"/>
      <c r="F40" s="303"/>
      <c r="G40" s="303"/>
      <c r="H40" s="303" t="s">
        <v>259</v>
      </c>
      <c r="I40" s="303"/>
      <c r="J40" s="303"/>
      <c r="K40" s="304"/>
      <c r="L40" s="305"/>
      <c r="M40" s="138"/>
      <c r="V40" s="66"/>
      <c r="W40" s="66"/>
    </row>
    <row r="41" spans="1:23" ht="39" customHeight="1">
      <c r="C41" s="174" t="s">
        <v>252</v>
      </c>
      <c r="D41" s="303" t="s">
        <v>264</v>
      </c>
      <c r="E41" s="303"/>
      <c r="F41" s="303"/>
      <c r="G41" s="303"/>
      <c r="H41" s="303" t="s">
        <v>265</v>
      </c>
      <c r="I41" s="303"/>
      <c r="J41" s="303"/>
      <c r="K41" s="304"/>
      <c r="L41" s="305"/>
      <c r="M41" s="138"/>
      <c r="V41" s="66"/>
      <c r="W41" s="66"/>
    </row>
    <row r="42" spans="1:23" ht="39" customHeight="1" thickBot="1">
      <c r="C42" s="175" t="s">
        <v>253</v>
      </c>
      <c r="D42" s="325" t="s">
        <v>258</v>
      </c>
      <c r="E42" s="325"/>
      <c r="F42" s="325"/>
      <c r="G42" s="325"/>
      <c r="H42" s="325" t="s">
        <v>258</v>
      </c>
      <c r="I42" s="325"/>
      <c r="J42" s="325"/>
      <c r="K42" s="296"/>
      <c r="L42" s="326"/>
      <c r="M42" s="138"/>
      <c r="V42" s="66"/>
      <c r="W42" s="66"/>
    </row>
  </sheetData>
  <mergeCells count="21">
    <mergeCell ref="V4:W4"/>
    <mergeCell ref="N4:O4"/>
    <mergeCell ref="P4:Q4"/>
    <mergeCell ref="R4:S4"/>
    <mergeCell ref="T4:U4"/>
    <mergeCell ref="D38:G38"/>
    <mergeCell ref="H38:L38"/>
    <mergeCell ref="K4:K5"/>
    <mergeCell ref="C3:F3"/>
    <mergeCell ref="C4:F4"/>
    <mergeCell ref="G4:H4"/>
    <mergeCell ref="I4:J4"/>
    <mergeCell ref="L4:M4"/>
    <mergeCell ref="D41:G41"/>
    <mergeCell ref="D42:G42"/>
    <mergeCell ref="H39:L39"/>
    <mergeCell ref="H40:L40"/>
    <mergeCell ref="H41:L41"/>
    <mergeCell ref="H42:L42"/>
    <mergeCell ref="D39:G39"/>
    <mergeCell ref="D40:G40"/>
  </mergeCells>
  <printOptions horizontalCentered="1" verticalCentered="1"/>
  <pageMargins left="0.25" right="0.25" top="0.75" bottom="0.75" header="0.3" footer="0.3"/>
  <pageSetup paperSize="8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N118"/>
  <sheetViews>
    <sheetView zoomScale="115" zoomScaleNormal="85" workbookViewId="0">
      <pane ySplit="80" topLeftCell="A101" activePane="bottomLeft" state="frozen"/>
      <selection pane="bottomLeft" activeCell="L106" sqref="L106"/>
    </sheetView>
  </sheetViews>
  <sheetFormatPr defaultColWidth="14.42578125" defaultRowHeight="15" customHeight="1"/>
  <cols>
    <col min="1" max="1" width="9.140625" style="65" customWidth="1"/>
    <col min="2" max="2" width="5.85546875" style="65" customWidth="1"/>
    <col min="3" max="3" width="9.42578125" style="65" customWidth="1"/>
    <col min="4" max="4" width="11.28515625" style="65" customWidth="1"/>
    <col min="5" max="5" width="15.28515625" style="65" customWidth="1"/>
    <col min="6" max="6" width="12.28515625" style="65" customWidth="1"/>
    <col min="7" max="10" width="12.42578125" style="65" customWidth="1"/>
    <col min="11" max="11" width="9.85546875" style="65" customWidth="1"/>
    <col min="12" max="12" width="43.85546875" style="65" customWidth="1"/>
    <col min="13" max="13" width="26.140625" style="65" customWidth="1"/>
    <col min="14" max="14" width="14.85546875" style="65" customWidth="1"/>
    <col min="15" max="16384" width="14.42578125" style="65"/>
  </cols>
  <sheetData>
    <row r="2" spans="1:14" ht="15.75" thickBot="1">
      <c r="A2" s="1"/>
      <c r="B2" s="2"/>
      <c r="C2" s="3"/>
      <c r="D2" s="4"/>
      <c r="E2" s="4"/>
      <c r="F2" s="4"/>
      <c r="G2" s="4"/>
      <c r="H2" s="4"/>
      <c r="I2" s="4"/>
      <c r="J2" s="4"/>
      <c r="K2" s="2"/>
      <c r="L2" s="4"/>
      <c r="M2" s="5"/>
      <c r="N2" s="2"/>
    </row>
    <row r="3" spans="1:14" ht="33.75" customHeight="1">
      <c r="A3" s="1"/>
      <c r="B3" s="346" t="s">
        <v>227</v>
      </c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8"/>
    </row>
    <row r="4" spans="1:14" ht="28.5" customHeight="1">
      <c r="A4" s="1"/>
      <c r="B4" s="349" t="s">
        <v>0</v>
      </c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50"/>
    </row>
    <row r="5" spans="1:14" ht="62.25" customHeight="1">
      <c r="A5" s="6"/>
      <c r="B5" s="7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226</v>
      </c>
      <c r="I5" s="8" t="s">
        <v>222</v>
      </c>
      <c r="J5" s="9" t="s">
        <v>234</v>
      </c>
      <c r="K5" s="9" t="s">
        <v>7</v>
      </c>
      <c r="L5" s="9" t="s">
        <v>8</v>
      </c>
      <c r="M5" s="9" t="s">
        <v>9</v>
      </c>
      <c r="N5" s="10" t="s">
        <v>10</v>
      </c>
    </row>
    <row r="6" spans="1:14" ht="19.5" hidden="1" customHeight="1">
      <c r="A6" s="1"/>
      <c r="B6" s="351" t="s">
        <v>11</v>
      </c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5"/>
      <c r="N6" s="11"/>
    </row>
    <row r="7" spans="1:14" ht="52.5" hidden="1" customHeight="1">
      <c r="A7" s="1"/>
      <c r="B7" s="34">
        <v>1</v>
      </c>
      <c r="C7" s="40" t="s">
        <v>12</v>
      </c>
      <c r="D7" s="41" t="s">
        <v>13</v>
      </c>
      <c r="E7" s="36" t="s">
        <v>14</v>
      </c>
      <c r="F7" s="36"/>
      <c r="G7" s="12" t="s">
        <v>15</v>
      </c>
      <c r="H7" s="17"/>
      <c r="I7" s="17"/>
      <c r="J7" s="17"/>
      <c r="K7" s="13">
        <v>1</v>
      </c>
      <c r="L7" s="14"/>
      <c r="M7" s="15" t="s">
        <v>16</v>
      </c>
      <c r="N7" s="11"/>
    </row>
    <row r="8" spans="1:14" ht="52.5" hidden="1" customHeight="1">
      <c r="A8" s="1"/>
      <c r="B8" s="34">
        <v>2</v>
      </c>
      <c r="C8" s="16" t="s">
        <v>17</v>
      </c>
      <c r="D8" s="41" t="s">
        <v>18</v>
      </c>
      <c r="E8" s="41" t="s">
        <v>19</v>
      </c>
      <c r="F8" s="41"/>
      <c r="G8" s="12" t="s">
        <v>20</v>
      </c>
      <c r="H8" s="17"/>
      <c r="I8" s="17"/>
      <c r="J8" s="17"/>
      <c r="K8" s="13">
        <v>1</v>
      </c>
      <c r="L8" s="14"/>
      <c r="M8" s="15" t="s">
        <v>16</v>
      </c>
      <c r="N8" s="11"/>
    </row>
    <row r="9" spans="1:14" ht="52.5" hidden="1" customHeight="1">
      <c r="A9" s="1"/>
      <c r="B9" s="34">
        <f t="shared" ref="B9:B24" si="0">B8+1</f>
        <v>3</v>
      </c>
      <c r="C9" s="16" t="s">
        <v>21</v>
      </c>
      <c r="D9" s="41" t="s">
        <v>18</v>
      </c>
      <c r="E9" s="41" t="s">
        <v>22</v>
      </c>
      <c r="F9" s="41"/>
      <c r="G9" s="12" t="s">
        <v>23</v>
      </c>
      <c r="H9" s="17"/>
      <c r="I9" s="17"/>
      <c r="J9" s="17"/>
      <c r="K9" s="13">
        <v>1</v>
      </c>
      <c r="L9" s="14"/>
      <c r="M9" s="15" t="s">
        <v>16</v>
      </c>
      <c r="N9" s="11"/>
    </row>
    <row r="10" spans="1:14" ht="52.5" hidden="1" customHeight="1">
      <c r="A10" s="1"/>
      <c r="B10" s="34">
        <f t="shared" si="0"/>
        <v>4</v>
      </c>
      <c r="C10" s="16" t="s">
        <v>24</v>
      </c>
      <c r="D10" s="41" t="s">
        <v>18</v>
      </c>
      <c r="E10" s="41" t="s">
        <v>22</v>
      </c>
      <c r="F10" s="41"/>
      <c r="G10" s="12" t="s">
        <v>23</v>
      </c>
      <c r="H10" s="17"/>
      <c r="I10" s="17"/>
      <c r="J10" s="17"/>
      <c r="K10" s="13">
        <v>1</v>
      </c>
      <c r="L10" s="14"/>
      <c r="M10" s="14" t="s">
        <v>16</v>
      </c>
      <c r="N10" s="11"/>
    </row>
    <row r="11" spans="1:14" ht="52.5" hidden="1" customHeight="1">
      <c r="A11" s="1"/>
      <c r="B11" s="34">
        <f t="shared" si="0"/>
        <v>5</v>
      </c>
      <c r="C11" s="16" t="s">
        <v>25</v>
      </c>
      <c r="D11" s="41" t="s">
        <v>26</v>
      </c>
      <c r="E11" s="41" t="s">
        <v>19</v>
      </c>
      <c r="F11" s="41"/>
      <c r="G11" s="12" t="s">
        <v>27</v>
      </c>
      <c r="H11" s="17"/>
      <c r="I11" s="17"/>
      <c r="J11" s="17"/>
      <c r="K11" s="13">
        <v>1</v>
      </c>
      <c r="L11" s="14"/>
      <c r="M11" s="15" t="s">
        <v>16</v>
      </c>
      <c r="N11" s="11"/>
    </row>
    <row r="12" spans="1:14" ht="52.5" hidden="1" customHeight="1">
      <c r="A12" s="1"/>
      <c r="B12" s="34">
        <f t="shared" si="0"/>
        <v>6</v>
      </c>
      <c r="C12" s="16" t="s">
        <v>28</v>
      </c>
      <c r="D12" s="41" t="s">
        <v>29</v>
      </c>
      <c r="E12" s="41" t="s">
        <v>22</v>
      </c>
      <c r="F12" s="41"/>
      <c r="G12" s="12" t="s">
        <v>30</v>
      </c>
      <c r="H12" s="17"/>
      <c r="I12" s="17"/>
      <c r="J12" s="17"/>
      <c r="K12" s="13">
        <v>1</v>
      </c>
      <c r="L12" s="14"/>
      <c r="M12" s="14" t="s">
        <v>16</v>
      </c>
      <c r="N12" s="11"/>
    </row>
    <row r="13" spans="1:14" ht="52.5" hidden="1" customHeight="1">
      <c r="A13" s="1"/>
      <c r="B13" s="34">
        <f t="shared" si="0"/>
        <v>7</v>
      </c>
      <c r="C13" s="16" t="s">
        <v>31</v>
      </c>
      <c r="D13" s="41" t="s">
        <v>29</v>
      </c>
      <c r="E13" s="41" t="s">
        <v>22</v>
      </c>
      <c r="F13" s="41"/>
      <c r="G13" s="12" t="s">
        <v>27</v>
      </c>
      <c r="H13" s="17"/>
      <c r="I13" s="17"/>
      <c r="J13" s="17"/>
      <c r="K13" s="13">
        <v>1</v>
      </c>
      <c r="L13" s="14"/>
      <c r="M13" s="15" t="s">
        <v>16</v>
      </c>
      <c r="N13" s="11"/>
    </row>
    <row r="14" spans="1:14" ht="52.5" hidden="1" customHeight="1">
      <c r="A14" s="1"/>
      <c r="B14" s="34">
        <f t="shared" si="0"/>
        <v>8</v>
      </c>
      <c r="C14" s="16" t="s">
        <v>32</v>
      </c>
      <c r="D14" s="41" t="s">
        <v>33</v>
      </c>
      <c r="E14" s="41" t="s">
        <v>22</v>
      </c>
      <c r="F14" s="41"/>
      <c r="G14" s="12" t="s">
        <v>27</v>
      </c>
      <c r="H14" s="17"/>
      <c r="I14" s="17"/>
      <c r="J14" s="17"/>
      <c r="K14" s="13">
        <v>1</v>
      </c>
      <c r="L14" s="14"/>
      <c r="M14" s="15" t="s">
        <v>16</v>
      </c>
      <c r="N14" s="11"/>
    </row>
    <row r="15" spans="1:14" ht="52.5" hidden="1" customHeight="1">
      <c r="A15" s="1"/>
      <c r="B15" s="34">
        <f t="shared" si="0"/>
        <v>9</v>
      </c>
      <c r="C15" s="16" t="s">
        <v>34</v>
      </c>
      <c r="D15" s="41" t="s">
        <v>35</v>
      </c>
      <c r="E15" s="41" t="s">
        <v>22</v>
      </c>
      <c r="F15" s="41"/>
      <c r="G15" s="12" t="s">
        <v>36</v>
      </c>
      <c r="H15" s="17"/>
      <c r="I15" s="17"/>
      <c r="J15" s="17"/>
      <c r="K15" s="13">
        <v>1</v>
      </c>
      <c r="L15" s="14"/>
      <c r="M15" s="18" t="s">
        <v>16</v>
      </c>
      <c r="N15" s="11"/>
    </row>
    <row r="16" spans="1:14" ht="52.5" hidden="1" customHeight="1">
      <c r="A16" s="1"/>
      <c r="B16" s="34">
        <f t="shared" si="0"/>
        <v>10</v>
      </c>
      <c r="C16" s="19" t="s">
        <v>37</v>
      </c>
      <c r="D16" s="41" t="s">
        <v>38</v>
      </c>
      <c r="E16" s="41" t="s">
        <v>19</v>
      </c>
      <c r="F16" s="41"/>
      <c r="G16" s="12" t="s">
        <v>39</v>
      </c>
      <c r="H16" s="17"/>
      <c r="I16" s="17"/>
      <c r="J16" s="17"/>
      <c r="K16" s="13">
        <v>1</v>
      </c>
      <c r="L16" s="14"/>
      <c r="M16" s="20" t="s">
        <v>16</v>
      </c>
      <c r="N16" s="11"/>
    </row>
    <row r="17" spans="1:14" ht="52.5" hidden="1" customHeight="1">
      <c r="A17" s="1"/>
      <c r="B17" s="34">
        <f t="shared" si="0"/>
        <v>11</v>
      </c>
      <c r="C17" s="19" t="s">
        <v>40</v>
      </c>
      <c r="D17" s="41" t="s">
        <v>18</v>
      </c>
      <c r="E17" s="41" t="s">
        <v>19</v>
      </c>
      <c r="F17" s="41"/>
      <c r="G17" s="12" t="s">
        <v>41</v>
      </c>
      <c r="H17" s="17"/>
      <c r="I17" s="17"/>
      <c r="J17" s="17"/>
      <c r="K17" s="13">
        <v>1</v>
      </c>
      <c r="L17" s="14"/>
      <c r="M17" s="36" t="s">
        <v>16</v>
      </c>
      <c r="N17" s="11"/>
    </row>
    <row r="18" spans="1:14" ht="52.5" hidden="1" customHeight="1">
      <c r="A18" s="1"/>
      <c r="B18" s="34">
        <f t="shared" si="0"/>
        <v>12</v>
      </c>
      <c r="C18" s="35" t="s">
        <v>42</v>
      </c>
      <c r="D18" s="21" t="s">
        <v>43</v>
      </c>
      <c r="E18" s="36" t="s">
        <v>14</v>
      </c>
      <c r="F18" s="36"/>
      <c r="G18" s="12" t="s">
        <v>44</v>
      </c>
      <c r="H18" s="17"/>
      <c r="I18" s="17"/>
      <c r="J18" s="17"/>
      <c r="K18" s="13">
        <v>1</v>
      </c>
      <c r="L18" s="14"/>
      <c r="M18" s="36" t="s">
        <v>16</v>
      </c>
      <c r="N18" s="11"/>
    </row>
    <row r="19" spans="1:14" ht="52.5" hidden="1" customHeight="1">
      <c r="A19" s="1"/>
      <c r="B19" s="34">
        <f t="shared" si="0"/>
        <v>13</v>
      </c>
      <c r="C19" s="35" t="s">
        <v>45</v>
      </c>
      <c r="D19" s="21" t="s">
        <v>46</v>
      </c>
      <c r="E19" s="36" t="s">
        <v>14</v>
      </c>
      <c r="F19" s="36"/>
      <c r="G19" s="12" t="s">
        <v>36</v>
      </c>
      <c r="H19" s="17"/>
      <c r="I19" s="17"/>
      <c r="J19" s="17"/>
      <c r="K19" s="13">
        <v>1</v>
      </c>
      <c r="L19" s="14"/>
      <c r="M19" s="36" t="s">
        <v>16</v>
      </c>
      <c r="N19" s="11"/>
    </row>
    <row r="20" spans="1:14" ht="52.5" hidden="1" customHeight="1">
      <c r="A20" s="1"/>
      <c r="B20" s="34">
        <f t="shared" si="0"/>
        <v>14</v>
      </c>
      <c r="C20" s="35" t="s">
        <v>47</v>
      </c>
      <c r="D20" s="21" t="s">
        <v>18</v>
      </c>
      <c r="E20" s="36" t="s">
        <v>14</v>
      </c>
      <c r="F20" s="36"/>
      <c r="G20" s="12" t="s">
        <v>36</v>
      </c>
      <c r="H20" s="17"/>
      <c r="I20" s="17"/>
      <c r="J20" s="17"/>
      <c r="K20" s="13">
        <v>1</v>
      </c>
      <c r="L20" s="14"/>
      <c r="M20" s="36" t="s">
        <v>16</v>
      </c>
      <c r="N20" s="11"/>
    </row>
    <row r="21" spans="1:14" ht="55.5" hidden="1" customHeight="1">
      <c r="A21" s="1"/>
      <c r="B21" s="34">
        <f t="shared" si="0"/>
        <v>15</v>
      </c>
      <c r="C21" s="35" t="s">
        <v>48</v>
      </c>
      <c r="D21" s="21" t="s">
        <v>46</v>
      </c>
      <c r="E21" s="36" t="s">
        <v>14</v>
      </c>
      <c r="F21" s="36"/>
      <c r="G21" s="12" t="s">
        <v>44</v>
      </c>
      <c r="H21" s="17"/>
      <c r="I21" s="17"/>
      <c r="J21" s="17"/>
      <c r="K21" s="13">
        <v>1</v>
      </c>
      <c r="L21" s="14"/>
      <c r="M21" s="15" t="s">
        <v>16</v>
      </c>
      <c r="N21" s="11"/>
    </row>
    <row r="22" spans="1:14" ht="52.5" hidden="1" customHeight="1">
      <c r="A22" s="1"/>
      <c r="B22" s="34">
        <f t="shared" si="0"/>
        <v>16</v>
      </c>
      <c r="C22" s="19" t="s">
        <v>49</v>
      </c>
      <c r="D22" s="21" t="s">
        <v>50</v>
      </c>
      <c r="E22" s="36" t="s">
        <v>14</v>
      </c>
      <c r="F22" s="36"/>
      <c r="G22" s="12" t="s">
        <v>36</v>
      </c>
      <c r="H22" s="17"/>
      <c r="I22" s="17"/>
      <c r="J22" s="17"/>
      <c r="K22" s="13">
        <v>1</v>
      </c>
      <c r="L22" s="14"/>
      <c r="M22" s="22" t="s">
        <v>16</v>
      </c>
      <c r="N22" s="11"/>
    </row>
    <row r="23" spans="1:14" ht="52.5" hidden="1" customHeight="1">
      <c r="A23" s="1"/>
      <c r="B23" s="34">
        <f t="shared" si="0"/>
        <v>17</v>
      </c>
      <c r="C23" s="19" t="s">
        <v>51</v>
      </c>
      <c r="D23" s="21" t="s">
        <v>18</v>
      </c>
      <c r="E23" s="36" t="s">
        <v>14</v>
      </c>
      <c r="F23" s="36"/>
      <c r="G23" s="12" t="s">
        <v>52</v>
      </c>
      <c r="H23" s="17"/>
      <c r="I23" s="17"/>
      <c r="J23" s="17"/>
      <c r="K23" s="13">
        <v>1</v>
      </c>
      <c r="L23" s="14"/>
      <c r="M23" s="22" t="s">
        <v>16</v>
      </c>
      <c r="N23" s="11"/>
    </row>
    <row r="24" spans="1:14" ht="51" hidden="1" customHeight="1">
      <c r="A24" s="23"/>
      <c r="B24" s="34">
        <f t="shared" si="0"/>
        <v>18</v>
      </c>
      <c r="C24" s="35" t="s">
        <v>53</v>
      </c>
      <c r="D24" s="36" t="s">
        <v>54</v>
      </c>
      <c r="E24" s="36" t="s">
        <v>19</v>
      </c>
      <c r="F24" s="36"/>
      <c r="G24" s="17" t="s">
        <v>55</v>
      </c>
      <c r="H24" s="17"/>
      <c r="I24" s="17"/>
      <c r="J24" s="17"/>
      <c r="K24" s="24">
        <v>1</v>
      </c>
      <c r="L24" s="20"/>
      <c r="M24" s="36" t="s">
        <v>16</v>
      </c>
      <c r="N24" s="25"/>
    </row>
    <row r="25" spans="1:14" ht="51" hidden="1" customHeight="1">
      <c r="A25" s="6"/>
      <c r="B25" s="34"/>
      <c r="C25" s="35"/>
      <c r="D25" s="36"/>
      <c r="E25" s="36"/>
      <c r="F25" s="36"/>
      <c r="G25" s="17"/>
      <c r="H25" s="17"/>
      <c r="I25" s="17"/>
      <c r="J25" s="17"/>
      <c r="K25" s="24"/>
      <c r="L25" s="20"/>
      <c r="M25" s="36"/>
      <c r="N25" s="25"/>
    </row>
    <row r="26" spans="1:14" ht="51" hidden="1" customHeight="1">
      <c r="A26" s="6"/>
      <c r="B26" s="26"/>
      <c r="C26" s="35"/>
      <c r="D26" s="36"/>
      <c r="E26" s="36"/>
      <c r="F26" s="36"/>
      <c r="G26" s="17"/>
      <c r="H26" s="17"/>
      <c r="I26" s="17"/>
      <c r="J26" s="17"/>
      <c r="K26" s="24"/>
      <c r="L26" s="20"/>
      <c r="M26" s="36"/>
      <c r="N26" s="25"/>
    </row>
    <row r="27" spans="1:14" ht="20.25" hidden="1" customHeight="1">
      <c r="A27" s="1"/>
      <c r="B27" s="343" t="s">
        <v>56</v>
      </c>
      <c r="C27" s="344"/>
      <c r="D27" s="344"/>
      <c r="E27" s="344"/>
      <c r="F27" s="344"/>
      <c r="G27" s="344"/>
      <c r="H27" s="344"/>
      <c r="I27" s="344"/>
      <c r="J27" s="344"/>
      <c r="K27" s="344"/>
      <c r="L27" s="344"/>
      <c r="M27" s="345"/>
      <c r="N27" s="11"/>
    </row>
    <row r="28" spans="1:14" ht="69" hidden="1" customHeight="1">
      <c r="A28" s="1"/>
      <c r="B28" s="26">
        <v>1</v>
      </c>
      <c r="C28" s="35" t="s">
        <v>57</v>
      </c>
      <c r="D28" s="36" t="s">
        <v>29</v>
      </c>
      <c r="E28" s="36" t="s">
        <v>58</v>
      </c>
      <c r="F28" s="36"/>
      <c r="G28" s="17" t="s">
        <v>59</v>
      </c>
      <c r="H28" s="36"/>
      <c r="I28" s="36"/>
      <c r="J28" s="36"/>
      <c r="K28" s="24">
        <v>1</v>
      </c>
      <c r="L28" s="20"/>
      <c r="M28" s="36" t="s">
        <v>16</v>
      </c>
      <c r="N28" s="11"/>
    </row>
    <row r="29" spans="1:14" ht="52.5" hidden="1" customHeight="1">
      <c r="A29" s="1"/>
      <c r="B29" s="26">
        <v>2</v>
      </c>
      <c r="C29" s="19" t="s">
        <v>60</v>
      </c>
      <c r="D29" s="41" t="s">
        <v>61</v>
      </c>
      <c r="E29" s="41" t="s">
        <v>58</v>
      </c>
      <c r="F29" s="41"/>
      <c r="G29" s="12" t="s">
        <v>59</v>
      </c>
      <c r="H29" s="17"/>
      <c r="I29" s="17"/>
      <c r="J29" s="17"/>
      <c r="K29" s="13">
        <v>1</v>
      </c>
      <c r="L29" s="14"/>
      <c r="M29" s="14" t="s">
        <v>16</v>
      </c>
      <c r="N29" s="11"/>
    </row>
    <row r="30" spans="1:14" ht="52.5" hidden="1" customHeight="1">
      <c r="A30" s="1"/>
      <c r="B30" s="26">
        <f t="shared" ref="B30:B34" si="1">B29+1</f>
        <v>3</v>
      </c>
      <c r="C30" s="19" t="s">
        <v>62</v>
      </c>
      <c r="D30" s="41" t="s">
        <v>29</v>
      </c>
      <c r="E30" s="41" t="s">
        <v>58</v>
      </c>
      <c r="F30" s="41"/>
      <c r="G30" s="12" t="s">
        <v>63</v>
      </c>
      <c r="H30" s="17"/>
      <c r="I30" s="17"/>
      <c r="J30" s="17"/>
      <c r="K30" s="13">
        <v>1</v>
      </c>
      <c r="L30" s="14"/>
      <c r="M30" s="14" t="s">
        <v>16</v>
      </c>
      <c r="N30" s="11"/>
    </row>
    <row r="31" spans="1:14" ht="51" hidden="1" customHeight="1">
      <c r="A31" s="6"/>
      <c r="B31" s="26">
        <f t="shared" si="1"/>
        <v>4</v>
      </c>
      <c r="C31" s="35" t="s">
        <v>64</v>
      </c>
      <c r="D31" s="36" t="s">
        <v>61</v>
      </c>
      <c r="E31" s="36" t="s">
        <v>58</v>
      </c>
      <c r="F31" s="36"/>
      <c r="G31" s="17" t="s">
        <v>65</v>
      </c>
      <c r="H31" s="17"/>
      <c r="I31" s="17"/>
      <c r="J31" s="17"/>
      <c r="K31" s="24">
        <v>1</v>
      </c>
      <c r="L31" s="20"/>
      <c r="M31" s="36" t="s">
        <v>16</v>
      </c>
      <c r="N31" s="25"/>
    </row>
    <row r="32" spans="1:14" ht="51" hidden="1" customHeight="1">
      <c r="A32" s="6"/>
      <c r="B32" s="26">
        <f t="shared" si="1"/>
        <v>5</v>
      </c>
      <c r="C32" s="35" t="s">
        <v>66</v>
      </c>
      <c r="D32" s="36" t="s">
        <v>61</v>
      </c>
      <c r="E32" s="36" t="s">
        <v>58</v>
      </c>
      <c r="F32" s="36"/>
      <c r="G32" s="17" t="s">
        <v>65</v>
      </c>
      <c r="H32" s="17"/>
      <c r="I32" s="17"/>
      <c r="J32" s="17"/>
      <c r="K32" s="24">
        <v>1</v>
      </c>
      <c r="L32" s="20"/>
      <c r="M32" s="36" t="s">
        <v>16</v>
      </c>
      <c r="N32" s="25"/>
    </row>
    <row r="33" spans="1:14" ht="51" hidden="1" customHeight="1">
      <c r="A33" s="1"/>
      <c r="B33" s="26">
        <f t="shared" si="1"/>
        <v>6</v>
      </c>
      <c r="C33" s="40" t="s">
        <v>67</v>
      </c>
      <c r="D33" s="27">
        <v>2</v>
      </c>
      <c r="E33" s="36" t="s">
        <v>58</v>
      </c>
      <c r="F33" s="36"/>
      <c r="G33" s="41" t="s">
        <v>68</v>
      </c>
      <c r="H33" s="41"/>
      <c r="I33" s="41"/>
      <c r="J33" s="41"/>
      <c r="K33" s="28">
        <v>1</v>
      </c>
      <c r="L33" s="29"/>
      <c r="M33" s="30" t="s">
        <v>16</v>
      </c>
      <c r="N33" s="11"/>
    </row>
    <row r="34" spans="1:14" ht="51.75" hidden="1" customHeight="1">
      <c r="A34" s="1"/>
      <c r="B34" s="26">
        <f t="shared" si="1"/>
        <v>7</v>
      </c>
      <c r="C34" s="16" t="s">
        <v>69</v>
      </c>
      <c r="D34" s="41" t="s">
        <v>70</v>
      </c>
      <c r="E34" s="36" t="s">
        <v>58</v>
      </c>
      <c r="F34" s="36"/>
      <c r="G34" s="41" t="s">
        <v>68</v>
      </c>
      <c r="H34" s="41"/>
      <c r="I34" s="41"/>
      <c r="J34" s="41"/>
      <c r="K34" s="31">
        <v>1</v>
      </c>
      <c r="L34" s="32"/>
      <c r="M34" s="36" t="s">
        <v>16</v>
      </c>
      <c r="N34" s="11"/>
    </row>
    <row r="35" spans="1:14" ht="15.75" hidden="1" customHeight="1">
      <c r="A35" s="1"/>
      <c r="B35" s="34"/>
      <c r="C35" s="40"/>
      <c r="D35" s="41"/>
      <c r="E35" s="41"/>
      <c r="F35" s="41"/>
      <c r="G35" s="41"/>
      <c r="H35" s="41"/>
      <c r="I35" s="41"/>
      <c r="J35" s="41"/>
      <c r="K35" s="33"/>
      <c r="L35" s="41"/>
      <c r="M35" s="36"/>
      <c r="N35" s="11"/>
    </row>
    <row r="36" spans="1:14" ht="42.75" hidden="1" customHeight="1">
      <c r="A36" s="1"/>
      <c r="B36" s="34"/>
      <c r="C36" s="40"/>
      <c r="D36" s="41"/>
      <c r="E36" s="41"/>
      <c r="F36" s="41"/>
      <c r="G36" s="41"/>
      <c r="H36" s="41"/>
      <c r="I36" s="41"/>
      <c r="J36" s="41"/>
      <c r="K36" s="33"/>
      <c r="L36" s="41"/>
      <c r="M36" s="36"/>
      <c r="N36" s="11"/>
    </row>
    <row r="37" spans="1:14" ht="42.75" hidden="1" customHeight="1">
      <c r="A37" s="1"/>
      <c r="B37" s="34"/>
      <c r="C37" s="40"/>
      <c r="D37" s="41"/>
      <c r="E37" s="41"/>
      <c r="F37" s="41"/>
      <c r="G37" s="41"/>
      <c r="H37" s="41"/>
      <c r="I37" s="41"/>
      <c r="J37" s="41"/>
      <c r="K37" s="33"/>
      <c r="L37" s="41"/>
      <c r="M37" s="36"/>
      <c r="N37" s="11"/>
    </row>
    <row r="38" spans="1:14" ht="15.75" hidden="1" customHeight="1">
      <c r="A38" s="1"/>
      <c r="B38" s="343" t="s">
        <v>71</v>
      </c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5"/>
      <c r="N38" s="11"/>
    </row>
    <row r="39" spans="1:14" ht="63.75" hidden="1" customHeight="1">
      <c r="A39" s="1"/>
      <c r="B39" s="34">
        <v>1</v>
      </c>
      <c r="C39" s="40" t="s">
        <v>72</v>
      </c>
      <c r="D39" s="41" t="s">
        <v>18</v>
      </c>
      <c r="E39" s="41" t="s">
        <v>73</v>
      </c>
      <c r="F39" s="41"/>
      <c r="G39" s="41" t="s">
        <v>74</v>
      </c>
      <c r="H39" s="41"/>
      <c r="I39" s="41"/>
      <c r="J39" s="41"/>
      <c r="K39" s="31">
        <v>1</v>
      </c>
      <c r="L39" s="32"/>
      <c r="M39" s="36" t="s">
        <v>16</v>
      </c>
      <c r="N39" s="11"/>
    </row>
    <row r="40" spans="1:14" ht="51" hidden="1" customHeight="1">
      <c r="A40" s="1"/>
      <c r="B40" s="34">
        <f t="shared" ref="B40:B74" si="2">B39+1</f>
        <v>2</v>
      </c>
      <c r="C40" s="40" t="s">
        <v>75</v>
      </c>
      <c r="D40" s="41" t="s">
        <v>18</v>
      </c>
      <c r="E40" s="41" t="s">
        <v>22</v>
      </c>
      <c r="F40" s="41"/>
      <c r="G40" s="41" t="s">
        <v>76</v>
      </c>
      <c r="H40" s="41"/>
      <c r="I40" s="41"/>
      <c r="J40" s="41"/>
      <c r="K40" s="31">
        <v>1</v>
      </c>
      <c r="L40" s="32"/>
      <c r="M40" s="36" t="s">
        <v>16</v>
      </c>
      <c r="N40" s="11"/>
    </row>
    <row r="41" spans="1:14" ht="51" hidden="1" customHeight="1">
      <c r="A41" s="1"/>
      <c r="B41" s="34">
        <f t="shared" si="2"/>
        <v>3</v>
      </c>
      <c r="C41" s="40" t="s">
        <v>77</v>
      </c>
      <c r="D41" s="41" t="s">
        <v>26</v>
      </c>
      <c r="E41" s="41" t="s">
        <v>22</v>
      </c>
      <c r="F41" s="41"/>
      <c r="G41" s="41" t="s">
        <v>78</v>
      </c>
      <c r="H41" s="41"/>
      <c r="I41" s="41"/>
      <c r="J41" s="41"/>
      <c r="K41" s="31">
        <v>1</v>
      </c>
      <c r="L41" s="32"/>
      <c r="M41" s="36" t="s">
        <v>16</v>
      </c>
      <c r="N41" s="11"/>
    </row>
    <row r="42" spans="1:14" ht="52.5" hidden="1" customHeight="1">
      <c r="A42" s="1"/>
      <c r="B42" s="34">
        <f t="shared" si="2"/>
        <v>4</v>
      </c>
      <c r="C42" s="40" t="s">
        <v>79</v>
      </c>
      <c r="D42" s="21" t="s">
        <v>80</v>
      </c>
      <c r="E42" s="36" t="s">
        <v>14</v>
      </c>
      <c r="F42" s="36"/>
      <c r="G42" s="12" t="s">
        <v>74</v>
      </c>
      <c r="H42" s="17"/>
      <c r="I42" s="17"/>
      <c r="J42" s="17"/>
      <c r="K42" s="13">
        <v>1</v>
      </c>
      <c r="L42" s="14"/>
      <c r="M42" s="15" t="s">
        <v>16</v>
      </c>
      <c r="N42" s="11"/>
    </row>
    <row r="43" spans="1:14" ht="51" hidden="1" customHeight="1">
      <c r="A43" s="1"/>
      <c r="B43" s="34">
        <f t="shared" si="2"/>
        <v>5</v>
      </c>
      <c r="C43" s="40" t="s">
        <v>81</v>
      </c>
      <c r="D43" s="41" t="s">
        <v>18</v>
      </c>
      <c r="E43" s="41" t="s">
        <v>22</v>
      </c>
      <c r="F43" s="41"/>
      <c r="G43" s="41" t="s">
        <v>82</v>
      </c>
      <c r="H43" s="41"/>
      <c r="I43" s="41"/>
      <c r="J43" s="41"/>
      <c r="K43" s="31">
        <v>1</v>
      </c>
      <c r="L43" s="32"/>
      <c r="M43" s="36" t="s">
        <v>16</v>
      </c>
      <c r="N43" s="11"/>
    </row>
    <row r="44" spans="1:14" ht="51" hidden="1" customHeight="1">
      <c r="A44" s="1"/>
      <c r="B44" s="34">
        <f t="shared" si="2"/>
        <v>6</v>
      </c>
      <c r="C44" s="40" t="s">
        <v>83</v>
      </c>
      <c r="D44" s="41" t="s">
        <v>26</v>
      </c>
      <c r="E44" s="41" t="s">
        <v>22</v>
      </c>
      <c r="F44" s="41"/>
      <c r="G44" s="41" t="s">
        <v>84</v>
      </c>
      <c r="H44" s="41"/>
      <c r="I44" s="41"/>
      <c r="J44" s="41"/>
      <c r="K44" s="31">
        <v>1</v>
      </c>
      <c r="L44" s="32"/>
      <c r="M44" s="36" t="s">
        <v>16</v>
      </c>
      <c r="N44" s="11"/>
    </row>
    <row r="45" spans="1:14" ht="51.75" hidden="1" customHeight="1">
      <c r="A45" s="1"/>
      <c r="B45" s="34">
        <f t="shared" si="2"/>
        <v>7</v>
      </c>
      <c r="C45" s="35" t="s">
        <v>85</v>
      </c>
      <c r="D45" s="36" t="s">
        <v>26</v>
      </c>
      <c r="E45" s="36" t="s">
        <v>22</v>
      </c>
      <c r="F45" s="36"/>
      <c r="G45" s="17" t="s">
        <v>78</v>
      </c>
      <c r="H45" s="36"/>
      <c r="I45" s="36"/>
      <c r="J45" s="36"/>
      <c r="K45" s="24">
        <v>1</v>
      </c>
      <c r="L45" s="20"/>
      <c r="M45" s="36" t="s">
        <v>16</v>
      </c>
      <c r="N45" s="11"/>
    </row>
    <row r="46" spans="1:14" ht="51.75" hidden="1" customHeight="1">
      <c r="A46" s="1"/>
      <c r="B46" s="34">
        <f t="shared" si="2"/>
        <v>8</v>
      </c>
      <c r="C46" s="35" t="s">
        <v>86</v>
      </c>
      <c r="D46" s="36" t="s">
        <v>26</v>
      </c>
      <c r="E46" s="36" t="s">
        <v>22</v>
      </c>
      <c r="F46" s="36"/>
      <c r="G46" s="17" t="s">
        <v>87</v>
      </c>
      <c r="H46" s="36"/>
      <c r="I46" s="36"/>
      <c r="J46" s="36"/>
      <c r="K46" s="24">
        <v>1</v>
      </c>
      <c r="L46" s="20"/>
      <c r="M46" s="36" t="s">
        <v>16</v>
      </c>
      <c r="N46" s="11"/>
    </row>
    <row r="47" spans="1:14" ht="51.75" hidden="1" customHeight="1">
      <c r="A47" s="1"/>
      <c r="B47" s="34">
        <f t="shared" si="2"/>
        <v>9</v>
      </c>
      <c r="C47" s="35" t="s">
        <v>88</v>
      </c>
      <c r="D47" s="36" t="s">
        <v>29</v>
      </c>
      <c r="E47" s="36" t="s">
        <v>22</v>
      </c>
      <c r="F47" s="36"/>
      <c r="G47" s="17" t="s">
        <v>89</v>
      </c>
      <c r="H47" s="36"/>
      <c r="I47" s="36"/>
      <c r="J47" s="36"/>
      <c r="K47" s="24">
        <v>1</v>
      </c>
      <c r="L47" s="20"/>
      <c r="M47" s="36" t="s">
        <v>16</v>
      </c>
      <c r="N47" s="11"/>
    </row>
    <row r="48" spans="1:14" ht="51.75" hidden="1" customHeight="1">
      <c r="A48" s="1"/>
      <c r="B48" s="34">
        <f t="shared" si="2"/>
        <v>10</v>
      </c>
      <c r="C48" s="35" t="s">
        <v>90</v>
      </c>
      <c r="D48" s="36">
        <v>2</v>
      </c>
      <c r="E48" s="36" t="s">
        <v>73</v>
      </c>
      <c r="F48" s="36"/>
      <c r="G48" s="17" t="s">
        <v>91</v>
      </c>
      <c r="H48" s="36"/>
      <c r="I48" s="36"/>
      <c r="J48" s="36"/>
      <c r="K48" s="24">
        <v>1</v>
      </c>
      <c r="L48" s="20"/>
      <c r="M48" s="36" t="s">
        <v>16</v>
      </c>
      <c r="N48" s="11"/>
    </row>
    <row r="49" spans="1:14" ht="51.75" hidden="1" customHeight="1">
      <c r="A49" s="1"/>
      <c r="B49" s="34">
        <f t="shared" si="2"/>
        <v>11</v>
      </c>
      <c r="C49" s="35" t="s">
        <v>92</v>
      </c>
      <c r="D49" s="36">
        <v>1</v>
      </c>
      <c r="E49" s="36" t="s">
        <v>73</v>
      </c>
      <c r="F49" s="36"/>
      <c r="G49" s="17" t="s">
        <v>93</v>
      </c>
      <c r="H49" s="36"/>
      <c r="I49" s="36"/>
      <c r="J49" s="36"/>
      <c r="K49" s="24">
        <v>1</v>
      </c>
      <c r="L49" s="20"/>
      <c r="M49" s="36" t="s">
        <v>16</v>
      </c>
      <c r="N49" s="11"/>
    </row>
    <row r="50" spans="1:14" ht="51.75" hidden="1" customHeight="1">
      <c r="A50" s="1"/>
      <c r="B50" s="34">
        <f t="shared" si="2"/>
        <v>12</v>
      </c>
      <c r="C50" s="35" t="s">
        <v>94</v>
      </c>
      <c r="D50" s="36" t="s">
        <v>70</v>
      </c>
      <c r="E50" s="36" t="s">
        <v>73</v>
      </c>
      <c r="F50" s="36"/>
      <c r="G50" s="17" t="s">
        <v>95</v>
      </c>
      <c r="H50" s="36"/>
      <c r="I50" s="36"/>
      <c r="J50" s="36"/>
      <c r="K50" s="24">
        <v>1</v>
      </c>
      <c r="L50" s="20"/>
      <c r="M50" s="36" t="s">
        <v>16</v>
      </c>
      <c r="N50" s="11"/>
    </row>
    <row r="51" spans="1:14" ht="51.75" hidden="1" customHeight="1">
      <c r="A51" s="1"/>
      <c r="B51" s="34">
        <f t="shared" si="2"/>
        <v>13</v>
      </c>
      <c r="C51" s="35" t="s">
        <v>96</v>
      </c>
      <c r="D51" s="36">
        <v>2</v>
      </c>
      <c r="E51" s="36" t="s">
        <v>73</v>
      </c>
      <c r="F51" s="36"/>
      <c r="G51" s="17" t="s">
        <v>97</v>
      </c>
      <c r="H51" s="36"/>
      <c r="I51" s="36"/>
      <c r="J51" s="36"/>
      <c r="K51" s="24">
        <v>1</v>
      </c>
      <c r="L51" s="20"/>
      <c r="M51" s="36" t="s">
        <v>16</v>
      </c>
      <c r="N51" s="11"/>
    </row>
    <row r="52" spans="1:14" ht="51.75" hidden="1" customHeight="1">
      <c r="A52" s="1"/>
      <c r="B52" s="34">
        <f t="shared" si="2"/>
        <v>14</v>
      </c>
      <c r="C52" s="35" t="s">
        <v>98</v>
      </c>
      <c r="D52" s="36" t="s">
        <v>29</v>
      </c>
      <c r="E52" s="36" t="s">
        <v>22</v>
      </c>
      <c r="F52" s="36"/>
      <c r="G52" s="17" t="s">
        <v>78</v>
      </c>
      <c r="H52" s="36"/>
      <c r="I52" s="36"/>
      <c r="J52" s="36"/>
      <c r="K52" s="24">
        <v>1</v>
      </c>
      <c r="L52" s="20"/>
      <c r="M52" s="36" t="s">
        <v>16</v>
      </c>
      <c r="N52" s="11"/>
    </row>
    <row r="53" spans="1:14" ht="51.75" hidden="1" customHeight="1">
      <c r="A53" s="1"/>
      <c r="B53" s="34">
        <f t="shared" si="2"/>
        <v>15</v>
      </c>
      <c r="C53" s="35" t="s">
        <v>99</v>
      </c>
      <c r="D53" s="36" t="s">
        <v>26</v>
      </c>
      <c r="E53" s="36" t="s">
        <v>22</v>
      </c>
      <c r="F53" s="36"/>
      <c r="G53" s="17" t="s">
        <v>100</v>
      </c>
      <c r="H53" s="36"/>
      <c r="I53" s="36"/>
      <c r="J53" s="36"/>
      <c r="K53" s="24">
        <v>1</v>
      </c>
      <c r="L53" s="20"/>
      <c r="M53" s="36" t="s">
        <v>16</v>
      </c>
      <c r="N53" s="11"/>
    </row>
    <row r="54" spans="1:14" ht="51.75" hidden="1" customHeight="1">
      <c r="A54" s="1"/>
      <c r="B54" s="34">
        <f t="shared" si="2"/>
        <v>16</v>
      </c>
      <c r="C54" s="35" t="s">
        <v>101</v>
      </c>
      <c r="D54" s="36" t="s">
        <v>18</v>
      </c>
      <c r="E54" s="36" t="s">
        <v>22</v>
      </c>
      <c r="F54" s="36"/>
      <c r="G54" s="17" t="s">
        <v>95</v>
      </c>
      <c r="H54" s="36"/>
      <c r="I54" s="36"/>
      <c r="J54" s="36"/>
      <c r="K54" s="24">
        <v>1</v>
      </c>
      <c r="L54" s="20"/>
      <c r="M54" s="36" t="s">
        <v>16</v>
      </c>
      <c r="N54" s="11"/>
    </row>
    <row r="55" spans="1:14" ht="51.75" hidden="1" customHeight="1">
      <c r="A55" s="1"/>
      <c r="B55" s="34">
        <f t="shared" si="2"/>
        <v>17</v>
      </c>
      <c r="C55" s="35" t="s">
        <v>102</v>
      </c>
      <c r="D55" s="36" t="s">
        <v>26</v>
      </c>
      <c r="E55" s="36" t="s">
        <v>73</v>
      </c>
      <c r="F55" s="36"/>
      <c r="G55" s="17" t="s">
        <v>103</v>
      </c>
      <c r="H55" s="36"/>
      <c r="I55" s="36"/>
      <c r="J55" s="36"/>
      <c r="K55" s="24">
        <v>1</v>
      </c>
      <c r="L55" s="20"/>
      <c r="M55" s="36" t="s">
        <v>16</v>
      </c>
      <c r="N55" s="11"/>
    </row>
    <row r="56" spans="1:14" ht="51.75" hidden="1" customHeight="1">
      <c r="A56" s="1"/>
      <c r="B56" s="34">
        <f t="shared" si="2"/>
        <v>18</v>
      </c>
      <c r="C56" s="35" t="s">
        <v>104</v>
      </c>
      <c r="D56" s="36" t="s">
        <v>46</v>
      </c>
      <c r="E56" s="36" t="s">
        <v>73</v>
      </c>
      <c r="F56" s="36"/>
      <c r="G56" s="17" t="s">
        <v>95</v>
      </c>
      <c r="H56" s="36"/>
      <c r="I56" s="36"/>
      <c r="J56" s="36"/>
      <c r="K56" s="24">
        <v>1</v>
      </c>
      <c r="L56" s="20"/>
      <c r="M56" s="36" t="s">
        <v>16</v>
      </c>
      <c r="N56" s="11"/>
    </row>
    <row r="57" spans="1:14" ht="51.75" hidden="1" customHeight="1">
      <c r="A57" s="1"/>
      <c r="B57" s="34">
        <f t="shared" si="2"/>
        <v>19</v>
      </c>
      <c r="C57" s="35" t="s">
        <v>105</v>
      </c>
      <c r="D57" s="36" t="s">
        <v>106</v>
      </c>
      <c r="E57" s="36" t="s">
        <v>22</v>
      </c>
      <c r="F57" s="36"/>
      <c r="G57" s="17" t="s">
        <v>107</v>
      </c>
      <c r="H57" s="36"/>
      <c r="I57" s="36"/>
      <c r="J57" s="36"/>
      <c r="K57" s="24">
        <v>1</v>
      </c>
      <c r="L57" s="20"/>
      <c r="M57" s="36" t="s">
        <v>16</v>
      </c>
      <c r="N57" s="11"/>
    </row>
    <row r="58" spans="1:14" ht="51" hidden="1" customHeight="1">
      <c r="A58" s="1"/>
      <c r="B58" s="34">
        <f t="shared" si="2"/>
        <v>20</v>
      </c>
      <c r="C58" s="35" t="s">
        <v>108</v>
      </c>
      <c r="D58" s="36" t="s">
        <v>109</v>
      </c>
      <c r="E58" s="36" t="s">
        <v>22</v>
      </c>
      <c r="F58" s="36"/>
      <c r="G58" s="17" t="s">
        <v>110</v>
      </c>
      <c r="H58" s="36"/>
      <c r="I58" s="36"/>
      <c r="J58" s="36"/>
      <c r="K58" s="24">
        <v>1</v>
      </c>
      <c r="L58" s="20"/>
      <c r="M58" s="36" t="s">
        <v>16</v>
      </c>
      <c r="N58" s="11"/>
    </row>
    <row r="59" spans="1:14" ht="51.75" hidden="1" customHeight="1">
      <c r="A59" s="1"/>
      <c r="B59" s="34">
        <f t="shared" si="2"/>
        <v>21</v>
      </c>
      <c r="C59" s="19" t="s">
        <v>111</v>
      </c>
      <c r="D59" s="41" t="s">
        <v>46</v>
      </c>
      <c r="E59" s="41" t="s">
        <v>22</v>
      </c>
      <c r="F59" s="41"/>
      <c r="G59" s="12" t="s">
        <v>110</v>
      </c>
      <c r="H59" s="17"/>
      <c r="I59" s="17"/>
      <c r="J59" s="17"/>
      <c r="K59" s="13">
        <v>1</v>
      </c>
      <c r="L59" s="14"/>
      <c r="M59" s="14" t="s">
        <v>16</v>
      </c>
      <c r="N59" s="11"/>
    </row>
    <row r="60" spans="1:14" ht="51.75" hidden="1" customHeight="1">
      <c r="A60" s="1"/>
      <c r="B60" s="34">
        <f t="shared" si="2"/>
        <v>22</v>
      </c>
      <c r="C60" s="19" t="s">
        <v>112</v>
      </c>
      <c r="D60" s="41" t="s">
        <v>46</v>
      </c>
      <c r="E60" s="41" t="s">
        <v>22</v>
      </c>
      <c r="F60" s="41"/>
      <c r="G60" s="12" t="s">
        <v>107</v>
      </c>
      <c r="H60" s="17"/>
      <c r="I60" s="17"/>
      <c r="J60" s="17"/>
      <c r="K60" s="13">
        <v>1</v>
      </c>
      <c r="L60" s="14"/>
      <c r="M60" s="14" t="s">
        <v>16</v>
      </c>
      <c r="N60" s="11"/>
    </row>
    <row r="61" spans="1:14" ht="51.75" hidden="1" customHeight="1">
      <c r="A61" s="1"/>
      <c r="B61" s="34">
        <f t="shared" si="2"/>
        <v>23</v>
      </c>
      <c r="C61" s="19" t="s">
        <v>113</v>
      </c>
      <c r="D61" s="41" t="s">
        <v>46</v>
      </c>
      <c r="E61" s="41" t="s">
        <v>22</v>
      </c>
      <c r="F61" s="41"/>
      <c r="G61" s="12" t="s">
        <v>114</v>
      </c>
      <c r="H61" s="17"/>
      <c r="I61" s="17"/>
      <c r="J61" s="17"/>
      <c r="K61" s="13">
        <v>1</v>
      </c>
      <c r="L61" s="14"/>
      <c r="M61" s="14" t="s">
        <v>16</v>
      </c>
      <c r="N61" s="11"/>
    </row>
    <row r="62" spans="1:14" ht="51.75" hidden="1" customHeight="1">
      <c r="A62" s="1"/>
      <c r="B62" s="34">
        <f t="shared" si="2"/>
        <v>24</v>
      </c>
      <c r="C62" s="19" t="s">
        <v>115</v>
      </c>
      <c r="D62" s="41" t="s">
        <v>26</v>
      </c>
      <c r="E62" s="41" t="s">
        <v>22</v>
      </c>
      <c r="F62" s="41"/>
      <c r="G62" s="12" t="s">
        <v>89</v>
      </c>
      <c r="H62" s="17"/>
      <c r="I62" s="17"/>
      <c r="J62" s="17"/>
      <c r="K62" s="13">
        <v>1</v>
      </c>
      <c r="L62" s="14"/>
      <c r="M62" s="14" t="s">
        <v>16</v>
      </c>
      <c r="N62" s="11"/>
    </row>
    <row r="63" spans="1:14" ht="51.75" hidden="1" customHeight="1">
      <c r="A63" s="1"/>
      <c r="B63" s="34">
        <f t="shared" si="2"/>
        <v>25</v>
      </c>
      <c r="C63" s="19" t="s">
        <v>116</v>
      </c>
      <c r="D63" s="41" t="s">
        <v>26</v>
      </c>
      <c r="E63" s="41" t="s">
        <v>22</v>
      </c>
      <c r="F63" s="41"/>
      <c r="G63" s="12" t="s">
        <v>95</v>
      </c>
      <c r="H63" s="17"/>
      <c r="I63" s="17"/>
      <c r="J63" s="17"/>
      <c r="K63" s="13">
        <v>1</v>
      </c>
      <c r="L63" s="14"/>
      <c r="M63" s="14" t="s">
        <v>16</v>
      </c>
      <c r="N63" s="11"/>
    </row>
    <row r="64" spans="1:14" ht="51.75" hidden="1" customHeight="1">
      <c r="A64" s="1"/>
      <c r="B64" s="34">
        <f t="shared" si="2"/>
        <v>26</v>
      </c>
      <c r="C64" s="19" t="s">
        <v>117</v>
      </c>
      <c r="D64" s="41" t="s">
        <v>26</v>
      </c>
      <c r="E64" s="41" t="s">
        <v>73</v>
      </c>
      <c r="F64" s="41"/>
      <c r="G64" s="12" t="s">
        <v>118</v>
      </c>
      <c r="H64" s="17"/>
      <c r="I64" s="17"/>
      <c r="J64" s="17"/>
      <c r="K64" s="13">
        <v>1</v>
      </c>
      <c r="L64" s="14"/>
      <c r="M64" s="14" t="s">
        <v>16</v>
      </c>
      <c r="N64" s="11"/>
    </row>
    <row r="65" spans="1:14" ht="51.75" hidden="1" customHeight="1">
      <c r="A65" s="1"/>
      <c r="B65" s="34">
        <f t="shared" si="2"/>
        <v>27</v>
      </c>
      <c r="C65" s="19" t="s">
        <v>119</v>
      </c>
      <c r="D65" s="41" t="s">
        <v>109</v>
      </c>
      <c r="E65" s="41" t="s">
        <v>22</v>
      </c>
      <c r="F65" s="41"/>
      <c r="G65" s="12" t="s">
        <v>120</v>
      </c>
      <c r="H65" s="17"/>
      <c r="I65" s="17"/>
      <c r="J65" s="17"/>
      <c r="K65" s="13">
        <v>1</v>
      </c>
      <c r="L65" s="14"/>
      <c r="M65" s="14" t="s">
        <v>16</v>
      </c>
      <c r="N65" s="11"/>
    </row>
    <row r="66" spans="1:14" ht="51.75" hidden="1" customHeight="1">
      <c r="A66" s="1"/>
      <c r="B66" s="34">
        <f t="shared" si="2"/>
        <v>28</v>
      </c>
      <c r="C66" s="19" t="s">
        <v>121</v>
      </c>
      <c r="D66" s="41" t="s">
        <v>109</v>
      </c>
      <c r="E66" s="41" t="s">
        <v>73</v>
      </c>
      <c r="F66" s="41"/>
      <c r="G66" s="12" t="s">
        <v>122</v>
      </c>
      <c r="H66" s="17"/>
      <c r="I66" s="17"/>
      <c r="J66" s="17"/>
      <c r="K66" s="13">
        <v>1</v>
      </c>
      <c r="L66" s="14"/>
      <c r="M66" s="14" t="s">
        <v>16</v>
      </c>
      <c r="N66" s="11"/>
    </row>
    <row r="67" spans="1:14" ht="52.5" hidden="1" customHeight="1">
      <c r="A67" s="1"/>
      <c r="B67" s="34">
        <f t="shared" si="2"/>
        <v>29</v>
      </c>
      <c r="C67" s="19" t="s">
        <v>123</v>
      </c>
      <c r="D67" s="41" t="s">
        <v>26</v>
      </c>
      <c r="E67" s="41" t="s">
        <v>22</v>
      </c>
      <c r="F67" s="41"/>
      <c r="G67" s="12" t="s">
        <v>124</v>
      </c>
      <c r="H67" s="17"/>
      <c r="I67" s="17"/>
      <c r="J67" s="17"/>
      <c r="K67" s="13">
        <v>1</v>
      </c>
      <c r="L67" s="14"/>
      <c r="M67" s="14" t="s">
        <v>16</v>
      </c>
      <c r="N67" s="11"/>
    </row>
    <row r="68" spans="1:14" ht="52.5" hidden="1" customHeight="1">
      <c r="A68" s="1"/>
      <c r="B68" s="34">
        <f t="shared" si="2"/>
        <v>30</v>
      </c>
      <c r="C68" s="19" t="s">
        <v>125</v>
      </c>
      <c r="D68" s="41" t="s">
        <v>26</v>
      </c>
      <c r="E68" s="41" t="s">
        <v>73</v>
      </c>
      <c r="F68" s="41"/>
      <c r="G68" s="12" t="s">
        <v>126</v>
      </c>
      <c r="H68" s="17"/>
      <c r="I68" s="17"/>
      <c r="J68" s="17"/>
      <c r="K68" s="13">
        <v>1</v>
      </c>
      <c r="L68" s="14"/>
      <c r="M68" s="14" t="s">
        <v>16</v>
      </c>
      <c r="N68" s="11"/>
    </row>
    <row r="69" spans="1:14" ht="52.5" hidden="1" customHeight="1">
      <c r="A69" s="1"/>
      <c r="B69" s="34">
        <f t="shared" si="2"/>
        <v>31</v>
      </c>
      <c r="C69" s="19" t="s">
        <v>127</v>
      </c>
      <c r="D69" s="41" t="s">
        <v>128</v>
      </c>
      <c r="E69" s="41" t="s">
        <v>73</v>
      </c>
      <c r="F69" s="41"/>
      <c r="G69" s="12" t="s">
        <v>74</v>
      </c>
      <c r="H69" s="17"/>
      <c r="I69" s="17"/>
      <c r="J69" s="17"/>
      <c r="K69" s="13">
        <v>1</v>
      </c>
      <c r="L69" s="14"/>
      <c r="M69" s="14" t="s">
        <v>16</v>
      </c>
      <c r="N69" s="11"/>
    </row>
    <row r="70" spans="1:14" ht="52.5" hidden="1" customHeight="1">
      <c r="A70" s="1"/>
      <c r="B70" s="34">
        <f t="shared" si="2"/>
        <v>32</v>
      </c>
      <c r="C70" s="19" t="s">
        <v>129</v>
      </c>
      <c r="D70" s="41" t="s">
        <v>26</v>
      </c>
      <c r="E70" s="41" t="s">
        <v>73</v>
      </c>
      <c r="F70" s="41"/>
      <c r="G70" s="12" t="s">
        <v>130</v>
      </c>
      <c r="H70" s="17"/>
      <c r="I70" s="17"/>
      <c r="J70" s="17"/>
      <c r="K70" s="13">
        <v>1</v>
      </c>
      <c r="L70" s="14"/>
      <c r="M70" s="14" t="s">
        <v>16</v>
      </c>
      <c r="N70" s="11"/>
    </row>
    <row r="71" spans="1:14" ht="52.5" hidden="1" customHeight="1">
      <c r="A71" s="1"/>
      <c r="B71" s="34">
        <f t="shared" si="2"/>
        <v>33</v>
      </c>
      <c r="C71" s="19" t="s">
        <v>131</v>
      </c>
      <c r="D71" s="41" t="s">
        <v>26</v>
      </c>
      <c r="E71" s="41" t="s">
        <v>22</v>
      </c>
      <c r="F71" s="41"/>
      <c r="G71" s="12" t="s">
        <v>130</v>
      </c>
      <c r="H71" s="17"/>
      <c r="I71" s="17"/>
      <c r="J71" s="17"/>
      <c r="K71" s="13">
        <v>1</v>
      </c>
      <c r="L71" s="14"/>
      <c r="M71" s="14" t="s">
        <v>16</v>
      </c>
      <c r="N71" s="11"/>
    </row>
    <row r="72" spans="1:14" ht="52.5" hidden="1" customHeight="1">
      <c r="A72" s="1"/>
      <c r="B72" s="34">
        <f t="shared" si="2"/>
        <v>34</v>
      </c>
      <c r="C72" s="19" t="s">
        <v>132</v>
      </c>
      <c r="D72" s="41" t="s">
        <v>26</v>
      </c>
      <c r="E72" s="41" t="s">
        <v>73</v>
      </c>
      <c r="F72" s="41"/>
      <c r="G72" s="12" t="s">
        <v>133</v>
      </c>
      <c r="H72" s="17"/>
      <c r="I72" s="17"/>
      <c r="J72" s="17"/>
      <c r="K72" s="13">
        <v>1</v>
      </c>
      <c r="L72" s="14"/>
      <c r="M72" s="14" t="s">
        <v>16</v>
      </c>
      <c r="N72" s="11"/>
    </row>
    <row r="73" spans="1:14" ht="52.5" hidden="1" customHeight="1">
      <c r="A73" s="1"/>
      <c r="B73" s="34">
        <f t="shared" si="2"/>
        <v>35</v>
      </c>
      <c r="C73" s="40" t="s">
        <v>134</v>
      </c>
      <c r="D73" s="41" t="s">
        <v>18</v>
      </c>
      <c r="E73" s="41" t="s">
        <v>22</v>
      </c>
      <c r="F73" s="41"/>
      <c r="G73" s="41" t="s">
        <v>135</v>
      </c>
      <c r="H73" s="41"/>
      <c r="I73" s="41"/>
      <c r="J73" s="41"/>
      <c r="K73" s="31">
        <v>1</v>
      </c>
      <c r="L73" s="32"/>
      <c r="M73" s="14" t="s">
        <v>16</v>
      </c>
      <c r="N73" s="11"/>
    </row>
    <row r="74" spans="1:14" ht="52.5" hidden="1" customHeight="1">
      <c r="A74" s="1"/>
      <c r="B74" s="34">
        <f t="shared" si="2"/>
        <v>36</v>
      </c>
      <c r="C74" s="40" t="s">
        <v>136</v>
      </c>
      <c r="D74" s="36" t="s">
        <v>137</v>
      </c>
      <c r="E74" s="41" t="s">
        <v>22</v>
      </c>
      <c r="F74" s="41"/>
      <c r="G74" s="41" t="s">
        <v>138</v>
      </c>
      <c r="H74" s="41" t="s">
        <v>139</v>
      </c>
      <c r="I74" s="41"/>
      <c r="J74" s="41"/>
      <c r="K74" s="31">
        <v>1</v>
      </c>
      <c r="L74" s="32"/>
      <c r="M74" s="14" t="s">
        <v>16</v>
      </c>
      <c r="N74" s="11"/>
    </row>
    <row r="75" spans="1:14" ht="52.5" hidden="1" customHeight="1">
      <c r="A75" s="1"/>
      <c r="B75" s="34"/>
      <c r="C75" s="40"/>
      <c r="D75" s="41"/>
      <c r="E75" s="41"/>
      <c r="F75" s="41"/>
      <c r="G75" s="41"/>
      <c r="H75" s="41"/>
      <c r="I75" s="41"/>
      <c r="J75" s="41"/>
      <c r="K75" s="31"/>
      <c r="L75" s="32"/>
      <c r="M75" s="14"/>
      <c r="N75" s="11"/>
    </row>
    <row r="76" spans="1:14" ht="52.5" hidden="1" customHeight="1">
      <c r="A76" s="1"/>
      <c r="B76" s="34"/>
      <c r="C76" s="40"/>
      <c r="D76" s="41"/>
      <c r="E76" s="41"/>
      <c r="F76" s="41"/>
      <c r="G76" s="41"/>
      <c r="H76" s="41"/>
      <c r="I76" s="41"/>
      <c r="J76" s="41"/>
      <c r="K76" s="31"/>
      <c r="L76" s="32"/>
      <c r="M76" s="14"/>
      <c r="N76" s="11"/>
    </row>
    <row r="77" spans="1:14" ht="52.5" hidden="1" customHeight="1">
      <c r="A77" s="1"/>
      <c r="B77" s="34"/>
      <c r="C77" s="40"/>
      <c r="D77" s="41"/>
      <c r="E77" s="41"/>
      <c r="F77" s="41"/>
      <c r="G77" s="41"/>
      <c r="H77" s="41"/>
      <c r="I77" s="41"/>
      <c r="J77" s="41"/>
      <c r="K77" s="31"/>
      <c r="L77" s="32"/>
      <c r="M77" s="14"/>
      <c r="N77" s="11"/>
    </row>
    <row r="78" spans="1:14" ht="52.5" hidden="1" customHeight="1">
      <c r="A78" s="1"/>
      <c r="B78" s="34"/>
      <c r="C78" s="40"/>
      <c r="D78" s="41"/>
      <c r="E78" s="41"/>
      <c r="F78" s="41"/>
      <c r="G78" s="41"/>
      <c r="H78" s="41"/>
      <c r="I78" s="41"/>
      <c r="J78" s="41"/>
      <c r="K78" s="31"/>
      <c r="L78" s="32"/>
      <c r="M78" s="14"/>
      <c r="N78" s="11"/>
    </row>
    <row r="79" spans="1:14" ht="52.5" hidden="1" customHeight="1">
      <c r="A79" s="1"/>
      <c r="B79" s="34"/>
      <c r="C79" s="40"/>
      <c r="D79" s="41"/>
      <c r="E79" s="41"/>
      <c r="F79" s="41"/>
      <c r="G79" s="41"/>
      <c r="H79" s="41"/>
      <c r="I79" s="41"/>
      <c r="J79" s="41"/>
      <c r="K79" s="31"/>
      <c r="L79" s="32"/>
      <c r="M79" s="14"/>
      <c r="N79" s="11"/>
    </row>
    <row r="80" spans="1:14" ht="25.5" hidden="1" customHeight="1">
      <c r="A80" s="1"/>
      <c r="B80" s="34"/>
      <c r="C80" s="40"/>
      <c r="D80" s="41"/>
      <c r="E80" s="41"/>
      <c r="F80" s="41"/>
      <c r="G80" s="41"/>
      <c r="H80" s="41"/>
      <c r="I80" s="41"/>
      <c r="J80" s="41"/>
      <c r="K80" s="31"/>
      <c r="L80" s="32"/>
      <c r="M80" s="14"/>
      <c r="N80" s="11"/>
    </row>
    <row r="81" spans="1:14" ht="15.75" hidden="1" customHeight="1">
      <c r="A81" s="1"/>
      <c r="B81" s="343" t="s">
        <v>140</v>
      </c>
      <c r="C81" s="344"/>
      <c r="D81" s="344"/>
      <c r="E81" s="344"/>
      <c r="F81" s="344"/>
      <c r="G81" s="344"/>
      <c r="H81" s="344"/>
      <c r="I81" s="344"/>
      <c r="J81" s="344"/>
      <c r="K81" s="344"/>
      <c r="L81" s="344"/>
      <c r="M81" s="345"/>
      <c r="N81" s="11"/>
    </row>
    <row r="82" spans="1:14" ht="15.75" hidden="1" customHeight="1">
      <c r="A82" s="1"/>
      <c r="B82" s="34"/>
      <c r="C82" s="40"/>
      <c r="D82" s="41"/>
      <c r="E82" s="41"/>
      <c r="F82" s="41"/>
      <c r="G82" s="41"/>
      <c r="H82" s="41"/>
      <c r="I82" s="41"/>
      <c r="J82" s="41"/>
      <c r="K82" s="33"/>
      <c r="L82" s="41"/>
      <c r="M82" s="36"/>
      <c r="N82" s="11"/>
    </row>
    <row r="83" spans="1:14" ht="30" customHeight="1">
      <c r="A83" s="1"/>
      <c r="B83" s="343" t="s">
        <v>232</v>
      </c>
      <c r="C83" s="344"/>
      <c r="D83" s="344"/>
      <c r="E83" s="344"/>
      <c r="F83" s="344"/>
      <c r="G83" s="344"/>
      <c r="H83" s="344"/>
      <c r="I83" s="344"/>
      <c r="J83" s="344"/>
      <c r="K83" s="344"/>
      <c r="L83" s="344"/>
      <c r="M83" s="344"/>
      <c r="N83" s="350"/>
    </row>
    <row r="84" spans="1:14" ht="15.75" customHeight="1">
      <c r="A84" s="1"/>
      <c r="B84" s="34">
        <v>1</v>
      </c>
      <c r="C84" s="35" t="s">
        <v>141</v>
      </c>
      <c r="D84" s="36" t="s">
        <v>142</v>
      </c>
      <c r="E84" s="36" t="s">
        <v>143</v>
      </c>
      <c r="F84" s="37">
        <v>45735</v>
      </c>
      <c r="G84" s="37">
        <v>45753</v>
      </c>
      <c r="H84" s="62">
        <v>46117</v>
      </c>
      <c r="I84" s="37">
        <v>45797</v>
      </c>
      <c r="J84" s="60">
        <v>46356</v>
      </c>
      <c r="K84" s="57">
        <v>0.6</v>
      </c>
      <c r="L84" s="36" t="s">
        <v>144</v>
      </c>
      <c r="M84" s="36"/>
      <c r="N84" s="39">
        <v>0.5</v>
      </c>
    </row>
    <row r="85" spans="1:14" ht="42" customHeight="1">
      <c r="A85" s="1"/>
      <c r="B85" s="34">
        <v>2</v>
      </c>
      <c r="C85" s="35" t="s">
        <v>145</v>
      </c>
      <c r="D85" s="36" t="s">
        <v>146</v>
      </c>
      <c r="E85" s="36" t="s">
        <v>143</v>
      </c>
      <c r="F85" s="37">
        <v>45679</v>
      </c>
      <c r="G85" s="37">
        <v>45712</v>
      </c>
      <c r="H85" s="62">
        <v>46076</v>
      </c>
      <c r="I85" s="37">
        <v>45762</v>
      </c>
      <c r="J85" s="60">
        <v>46265</v>
      </c>
      <c r="K85" s="57">
        <v>0.92</v>
      </c>
      <c r="L85" s="36" t="s">
        <v>147</v>
      </c>
      <c r="M85" s="36"/>
      <c r="N85" s="39">
        <v>0.75</v>
      </c>
    </row>
    <row r="86" spans="1:14" ht="21" customHeight="1">
      <c r="A86" s="1"/>
      <c r="B86" s="34">
        <v>3</v>
      </c>
      <c r="C86" s="35" t="s">
        <v>148</v>
      </c>
      <c r="D86" s="36" t="s">
        <v>149</v>
      </c>
      <c r="E86" s="36" t="s">
        <v>143</v>
      </c>
      <c r="F86" s="37">
        <v>45847</v>
      </c>
      <c r="G86" s="37">
        <v>45893</v>
      </c>
      <c r="H86" s="62">
        <v>46257</v>
      </c>
      <c r="I86" s="37">
        <v>45979</v>
      </c>
      <c r="J86" s="60">
        <v>46387</v>
      </c>
      <c r="K86" s="57">
        <v>0.4</v>
      </c>
      <c r="L86" s="36" t="s">
        <v>150</v>
      </c>
      <c r="M86" s="36"/>
      <c r="N86" s="39">
        <v>0.5</v>
      </c>
    </row>
    <row r="87" spans="1:14" ht="15.75" customHeight="1">
      <c r="A87" s="1"/>
      <c r="B87" s="34">
        <v>4</v>
      </c>
      <c r="C87" s="35" t="s">
        <v>151</v>
      </c>
      <c r="D87" s="36" t="s">
        <v>146</v>
      </c>
      <c r="E87" s="36" t="s">
        <v>143</v>
      </c>
      <c r="F87" s="37">
        <v>45677</v>
      </c>
      <c r="G87" s="37">
        <v>45703</v>
      </c>
      <c r="H87" s="62">
        <v>46067</v>
      </c>
      <c r="I87" s="37">
        <v>45765</v>
      </c>
      <c r="J87" s="60">
        <v>46234</v>
      </c>
      <c r="K87" s="57">
        <v>0.95</v>
      </c>
      <c r="L87" s="36" t="s">
        <v>152</v>
      </c>
      <c r="M87" s="36"/>
      <c r="N87" s="39">
        <v>0.75</v>
      </c>
    </row>
    <row r="88" spans="1:14" ht="19.5" customHeight="1">
      <c r="A88" s="1"/>
      <c r="B88" s="34">
        <v>5</v>
      </c>
      <c r="C88" s="35" t="s">
        <v>153</v>
      </c>
      <c r="D88" s="36" t="s">
        <v>146</v>
      </c>
      <c r="E88" s="36" t="s">
        <v>154</v>
      </c>
      <c r="F88" s="37">
        <v>46023</v>
      </c>
      <c r="G88" s="37">
        <v>46073</v>
      </c>
      <c r="H88" s="62">
        <v>46437</v>
      </c>
      <c r="I88" s="37">
        <v>46073</v>
      </c>
      <c r="J88" s="60">
        <v>46568</v>
      </c>
      <c r="K88" s="57">
        <v>0.15</v>
      </c>
      <c r="L88" s="36" t="s">
        <v>155</v>
      </c>
      <c r="M88" s="36"/>
      <c r="N88" s="39">
        <v>0.25</v>
      </c>
    </row>
    <row r="89" spans="1:14" ht="19.5" customHeight="1">
      <c r="A89" s="1"/>
      <c r="B89" s="34">
        <v>6</v>
      </c>
      <c r="C89" s="35" t="s">
        <v>156</v>
      </c>
      <c r="D89" s="36" t="s">
        <v>146</v>
      </c>
      <c r="E89" s="36" t="s">
        <v>157</v>
      </c>
      <c r="F89" s="37">
        <v>45829</v>
      </c>
      <c r="G89" s="37">
        <v>45862</v>
      </c>
      <c r="H89" s="62">
        <v>46226</v>
      </c>
      <c r="I89" s="37">
        <v>45973</v>
      </c>
      <c r="J89" s="60">
        <v>46295</v>
      </c>
      <c r="K89" s="57">
        <v>0.45</v>
      </c>
      <c r="L89" s="36" t="s">
        <v>158</v>
      </c>
      <c r="M89" s="36"/>
      <c r="N89" s="39">
        <v>0.5</v>
      </c>
    </row>
    <row r="90" spans="1:14" ht="66" customHeight="1">
      <c r="A90" s="1"/>
      <c r="B90" s="34">
        <v>7</v>
      </c>
      <c r="C90" s="35" t="s">
        <v>159</v>
      </c>
      <c r="D90" s="36" t="s">
        <v>146</v>
      </c>
      <c r="E90" s="36" t="s">
        <v>160</v>
      </c>
      <c r="F90" s="37">
        <v>46074</v>
      </c>
      <c r="G90" s="37">
        <v>46118</v>
      </c>
      <c r="H90" s="62">
        <v>46482</v>
      </c>
      <c r="I90" s="37">
        <v>46163</v>
      </c>
      <c r="J90" s="60">
        <v>46599</v>
      </c>
      <c r="K90" s="38">
        <v>0.05</v>
      </c>
      <c r="L90" s="36" t="s">
        <v>223</v>
      </c>
      <c r="M90" s="56" t="s">
        <v>228</v>
      </c>
      <c r="N90" s="39">
        <v>0.25</v>
      </c>
    </row>
    <row r="91" spans="1:14" ht="19.5" customHeight="1">
      <c r="A91" s="1"/>
      <c r="B91" s="34">
        <v>8</v>
      </c>
      <c r="C91" s="35" t="s">
        <v>161</v>
      </c>
      <c r="D91" s="36" t="s">
        <v>219</v>
      </c>
      <c r="E91" s="36" t="s">
        <v>160</v>
      </c>
      <c r="F91" s="37">
        <v>46112</v>
      </c>
      <c r="G91" s="37">
        <v>46148</v>
      </c>
      <c r="H91" s="62">
        <v>46604</v>
      </c>
      <c r="I91" s="37">
        <v>46163</v>
      </c>
      <c r="J91" s="60">
        <v>46721</v>
      </c>
      <c r="K91" s="38">
        <v>0.05</v>
      </c>
      <c r="L91" s="36" t="s">
        <v>223</v>
      </c>
      <c r="M91" s="36"/>
      <c r="N91" s="39">
        <v>0.25</v>
      </c>
    </row>
    <row r="92" spans="1:14" ht="15.75" customHeight="1">
      <c r="A92" s="1"/>
      <c r="B92" s="34">
        <v>9</v>
      </c>
      <c r="C92" s="35" t="s">
        <v>163</v>
      </c>
      <c r="D92" s="36" t="s">
        <v>149</v>
      </c>
      <c r="E92" s="36" t="s">
        <v>143</v>
      </c>
      <c r="F92" s="37">
        <v>45867</v>
      </c>
      <c r="G92" s="37">
        <v>45893</v>
      </c>
      <c r="H92" s="62">
        <v>46257</v>
      </c>
      <c r="I92" s="37">
        <v>45978</v>
      </c>
      <c r="J92" s="60">
        <v>46387</v>
      </c>
      <c r="K92" s="38">
        <v>0.38</v>
      </c>
      <c r="L92" s="36" t="s">
        <v>164</v>
      </c>
      <c r="M92" s="36"/>
      <c r="N92" s="39">
        <v>0.5</v>
      </c>
    </row>
    <row r="93" spans="1:14" ht="15.75" customHeight="1">
      <c r="A93" s="1"/>
      <c r="B93" s="34">
        <v>10</v>
      </c>
      <c r="C93" s="35" t="s">
        <v>165</v>
      </c>
      <c r="D93" s="36" t="s">
        <v>162</v>
      </c>
      <c r="E93" s="36" t="s">
        <v>143</v>
      </c>
      <c r="F93" s="37">
        <v>45836</v>
      </c>
      <c r="G93" s="37">
        <v>45884</v>
      </c>
      <c r="H93" s="62">
        <v>46248</v>
      </c>
      <c r="I93" s="37">
        <v>45979</v>
      </c>
      <c r="J93" s="60">
        <v>46387</v>
      </c>
      <c r="K93" s="57">
        <v>0.3</v>
      </c>
      <c r="L93" s="36" t="s">
        <v>164</v>
      </c>
      <c r="M93" s="36"/>
      <c r="N93" s="39">
        <v>0.5</v>
      </c>
    </row>
    <row r="94" spans="1:14" ht="15.75" customHeight="1">
      <c r="A94" s="1"/>
      <c r="B94" s="34">
        <v>11</v>
      </c>
      <c r="C94" s="35" t="s">
        <v>166</v>
      </c>
      <c r="D94" s="36" t="s">
        <v>146</v>
      </c>
      <c r="E94" s="36" t="s">
        <v>143</v>
      </c>
      <c r="F94" s="37">
        <v>45769</v>
      </c>
      <c r="G94" s="37">
        <v>45801</v>
      </c>
      <c r="H94" s="62">
        <v>46165</v>
      </c>
      <c r="I94" s="37">
        <v>45797</v>
      </c>
      <c r="J94" s="60">
        <v>46325</v>
      </c>
      <c r="K94" s="57">
        <v>0.6</v>
      </c>
      <c r="L94" s="36" t="s">
        <v>167</v>
      </c>
      <c r="M94" s="36"/>
      <c r="N94" s="39">
        <v>0.75</v>
      </c>
    </row>
    <row r="95" spans="1:14" ht="15.75" customHeight="1">
      <c r="A95" s="1"/>
      <c r="B95" s="34">
        <v>12</v>
      </c>
      <c r="C95" s="35" t="s">
        <v>168</v>
      </c>
      <c r="D95" s="36" t="s">
        <v>146</v>
      </c>
      <c r="E95" s="36" t="s">
        <v>154</v>
      </c>
      <c r="F95" s="37">
        <v>45869</v>
      </c>
      <c r="G95" s="37">
        <v>45906</v>
      </c>
      <c r="H95" s="62">
        <v>46270</v>
      </c>
      <c r="I95" s="37">
        <v>46007</v>
      </c>
      <c r="J95" s="60">
        <v>46507</v>
      </c>
      <c r="K95" s="57">
        <v>0.18</v>
      </c>
      <c r="L95" s="36" t="s">
        <v>169</v>
      </c>
      <c r="M95" s="36"/>
      <c r="N95" s="39">
        <v>0.25</v>
      </c>
    </row>
    <row r="96" spans="1:14" ht="19.5" customHeight="1">
      <c r="A96" s="1"/>
      <c r="B96" s="34">
        <v>13</v>
      </c>
      <c r="C96" s="35" t="s">
        <v>170</v>
      </c>
      <c r="D96" s="36" t="s">
        <v>171</v>
      </c>
      <c r="E96" s="36" t="s">
        <v>143</v>
      </c>
      <c r="F96" s="37">
        <v>45800</v>
      </c>
      <c r="G96" s="37">
        <v>45832</v>
      </c>
      <c r="H96" s="62">
        <v>46196</v>
      </c>
      <c r="I96" s="37">
        <v>45972</v>
      </c>
      <c r="J96" s="60">
        <v>46387</v>
      </c>
      <c r="K96" s="57">
        <v>0.38</v>
      </c>
      <c r="L96" s="36" t="s">
        <v>172</v>
      </c>
      <c r="M96" s="36"/>
      <c r="N96" s="39">
        <v>0.5</v>
      </c>
    </row>
    <row r="97" spans="1:14" ht="49.5" customHeight="1">
      <c r="A97" s="1"/>
      <c r="B97" s="34">
        <v>14</v>
      </c>
      <c r="C97" s="40" t="s">
        <v>173</v>
      </c>
      <c r="D97" s="36" t="s">
        <v>146</v>
      </c>
      <c r="E97" s="41" t="s">
        <v>143</v>
      </c>
      <c r="F97" s="42">
        <v>45694</v>
      </c>
      <c r="G97" s="42">
        <v>45731</v>
      </c>
      <c r="H97" s="63">
        <v>46095</v>
      </c>
      <c r="I97" s="42">
        <v>45764</v>
      </c>
      <c r="J97" s="60">
        <v>46245</v>
      </c>
      <c r="K97" s="58">
        <v>0.8</v>
      </c>
      <c r="L97" s="36" t="s">
        <v>174</v>
      </c>
      <c r="M97" s="36" t="s">
        <v>175</v>
      </c>
      <c r="N97" s="39">
        <v>0.75</v>
      </c>
    </row>
    <row r="98" spans="1:14" ht="15.75" customHeight="1">
      <c r="A98" s="1"/>
      <c r="B98" s="34">
        <v>15</v>
      </c>
      <c r="C98" s="35" t="s">
        <v>176</v>
      </c>
      <c r="D98" s="36" t="s">
        <v>146</v>
      </c>
      <c r="E98" s="36" t="s">
        <v>154</v>
      </c>
      <c r="F98" s="37">
        <v>45957</v>
      </c>
      <c r="G98" s="37">
        <v>46077</v>
      </c>
      <c r="H98" s="62">
        <v>46441</v>
      </c>
      <c r="I98" s="37">
        <v>46073</v>
      </c>
      <c r="J98" s="60">
        <v>46568</v>
      </c>
      <c r="K98" s="38">
        <v>0.15</v>
      </c>
      <c r="L98" s="36" t="s">
        <v>177</v>
      </c>
      <c r="M98" s="36"/>
      <c r="N98" s="39">
        <v>0.25</v>
      </c>
    </row>
    <row r="99" spans="1:14" ht="33.75" customHeight="1">
      <c r="A99" s="1"/>
      <c r="B99" s="358" t="s">
        <v>233</v>
      </c>
      <c r="C99" s="359"/>
      <c r="D99" s="359"/>
      <c r="E99" s="359"/>
      <c r="F99" s="359"/>
      <c r="G99" s="359"/>
      <c r="H99" s="359"/>
      <c r="I99" s="359"/>
      <c r="J99" s="359"/>
      <c r="K99" s="359"/>
      <c r="L99" s="359"/>
      <c r="M99" s="359"/>
      <c r="N99" s="360"/>
    </row>
    <row r="100" spans="1:14" ht="15.75" customHeight="1">
      <c r="A100" s="1"/>
      <c r="B100" s="34">
        <v>16</v>
      </c>
      <c r="C100" s="40" t="s">
        <v>178</v>
      </c>
      <c r="D100" s="36" t="s">
        <v>179</v>
      </c>
      <c r="E100" s="41" t="s">
        <v>180</v>
      </c>
      <c r="F100" s="42">
        <v>46051</v>
      </c>
      <c r="G100" s="42">
        <v>46068</v>
      </c>
      <c r="H100" s="63">
        <v>46432</v>
      </c>
      <c r="I100" s="42">
        <v>46073</v>
      </c>
      <c r="J100" s="60">
        <v>46538</v>
      </c>
      <c r="K100" s="43">
        <v>0.18</v>
      </c>
      <c r="L100" s="36" t="s">
        <v>181</v>
      </c>
      <c r="M100" s="36"/>
      <c r="N100" s="44">
        <v>0.25</v>
      </c>
    </row>
    <row r="101" spans="1:14" ht="33.75" customHeight="1">
      <c r="A101" s="1"/>
      <c r="B101" s="34">
        <v>17</v>
      </c>
      <c r="C101" s="40" t="s">
        <v>182</v>
      </c>
      <c r="D101" s="36" t="s">
        <v>220</v>
      </c>
      <c r="E101" s="41" t="s">
        <v>180</v>
      </c>
      <c r="F101" s="42">
        <v>46164</v>
      </c>
      <c r="G101" s="42">
        <v>46188</v>
      </c>
      <c r="H101" s="63">
        <v>46644</v>
      </c>
      <c r="I101" s="42">
        <v>46177</v>
      </c>
      <c r="J101" s="60">
        <v>46507</v>
      </c>
      <c r="K101" s="43">
        <v>0.02</v>
      </c>
      <c r="L101" s="55" t="s">
        <v>230</v>
      </c>
      <c r="M101" s="55" t="s">
        <v>229</v>
      </c>
      <c r="N101" s="44">
        <v>0.25</v>
      </c>
    </row>
    <row r="102" spans="1:14" ht="15.75" customHeight="1">
      <c r="A102" s="1"/>
      <c r="B102" s="34">
        <v>18</v>
      </c>
      <c r="C102" s="40" t="s">
        <v>183</v>
      </c>
      <c r="D102" s="36" t="s">
        <v>171</v>
      </c>
      <c r="E102" s="41" t="s">
        <v>180</v>
      </c>
      <c r="F102" s="42">
        <v>46174</v>
      </c>
      <c r="G102" s="42">
        <v>46188</v>
      </c>
      <c r="H102" s="63">
        <v>46735</v>
      </c>
      <c r="I102" s="42">
        <v>46177</v>
      </c>
      <c r="J102" s="60">
        <v>46568</v>
      </c>
      <c r="K102" s="43">
        <v>0.05</v>
      </c>
      <c r="L102" s="36" t="s">
        <v>224</v>
      </c>
      <c r="M102" s="36"/>
      <c r="N102" s="44">
        <v>0.25</v>
      </c>
    </row>
    <row r="103" spans="1:14" ht="15.75" customHeight="1">
      <c r="A103" s="1"/>
      <c r="B103" s="34">
        <v>19</v>
      </c>
      <c r="C103" s="40" t="s">
        <v>184</v>
      </c>
      <c r="D103" s="36" t="s">
        <v>146</v>
      </c>
      <c r="E103" s="41" t="s">
        <v>185</v>
      </c>
      <c r="F103" s="42">
        <v>46078</v>
      </c>
      <c r="G103" s="42">
        <v>46118</v>
      </c>
      <c r="H103" s="63">
        <v>46482</v>
      </c>
      <c r="I103" s="42">
        <v>46159</v>
      </c>
      <c r="J103" s="60">
        <v>46599</v>
      </c>
      <c r="K103" s="43">
        <v>0.05</v>
      </c>
      <c r="L103" s="36" t="s">
        <v>186</v>
      </c>
      <c r="M103" s="36"/>
      <c r="N103" s="44">
        <v>0.25</v>
      </c>
    </row>
    <row r="104" spans="1:14" ht="15.75" customHeight="1">
      <c r="A104" s="1"/>
      <c r="B104" s="34">
        <v>20</v>
      </c>
      <c r="C104" s="40" t="s">
        <v>187</v>
      </c>
      <c r="D104" s="36" t="s">
        <v>171</v>
      </c>
      <c r="E104" s="41" t="s">
        <v>185</v>
      </c>
      <c r="F104" s="42">
        <v>46063</v>
      </c>
      <c r="G104" s="42">
        <v>46148</v>
      </c>
      <c r="H104" s="63">
        <v>46604</v>
      </c>
      <c r="I104" s="42">
        <v>46159</v>
      </c>
      <c r="J104" s="60">
        <v>46721</v>
      </c>
      <c r="K104" s="43">
        <v>0.05</v>
      </c>
      <c r="L104" s="36" t="s">
        <v>225</v>
      </c>
      <c r="M104" s="36"/>
      <c r="N104" s="44">
        <v>0.25</v>
      </c>
    </row>
    <row r="105" spans="1:14" ht="31.5" customHeight="1">
      <c r="A105" s="1"/>
      <c r="B105" s="34">
        <v>21</v>
      </c>
      <c r="C105" s="40" t="s">
        <v>188</v>
      </c>
      <c r="D105" s="36" t="s">
        <v>189</v>
      </c>
      <c r="E105" s="41" t="s">
        <v>190</v>
      </c>
      <c r="F105" s="42">
        <v>45777</v>
      </c>
      <c r="G105" s="42">
        <v>45814</v>
      </c>
      <c r="H105" s="63">
        <v>46178</v>
      </c>
      <c r="I105" s="42">
        <v>45814</v>
      </c>
      <c r="J105" s="60">
        <v>46310</v>
      </c>
      <c r="K105" s="43">
        <v>0.85</v>
      </c>
      <c r="L105" s="36" t="s">
        <v>191</v>
      </c>
      <c r="M105" s="36"/>
      <c r="N105" s="44">
        <v>0.75</v>
      </c>
    </row>
    <row r="106" spans="1:14" ht="15.75" customHeight="1">
      <c r="A106" s="1"/>
      <c r="B106" s="34">
        <v>22</v>
      </c>
      <c r="C106" s="45" t="s">
        <v>192</v>
      </c>
      <c r="D106" s="46" t="s">
        <v>193</v>
      </c>
      <c r="E106" s="47" t="s">
        <v>190</v>
      </c>
      <c r="F106" s="48">
        <v>45681</v>
      </c>
      <c r="G106" s="48">
        <v>45712</v>
      </c>
      <c r="H106" s="64">
        <v>46076</v>
      </c>
      <c r="I106" s="48">
        <v>45792</v>
      </c>
      <c r="J106" s="61">
        <v>46295</v>
      </c>
      <c r="K106" s="59">
        <v>0.9</v>
      </c>
      <c r="L106" s="46" t="s">
        <v>194</v>
      </c>
      <c r="M106" s="46"/>
      <c r="N106" s="44">
        <v>0.75</v>
      </c>
    </row>
    <row r="107" spans="1:14" ht="45.75" customHeight="1">
      <c r="A107" s="1"/>
      <c r="B107" s="34">
        <v>23</v>
      </c>
      <c r="C107" s="40" t="s">
        <v>195</v>
      </c>
      <c r="D107" s="36" t="s">
        <v>189</v>
      </c>
      <c r="E107" s="41" t="s">
        <v>190</v>
      </c>
      <c r="F107" s="42">
        <v>45799</v>
      </c>
      <c r="G107" s="42">
        <v>45823</v>
      </c>
      <c r="H107" s="63">
        <v>46187</v>
      </c>
      <c r="I107" s="42">
        <v>45817</v>
      </c>
      <c r="J107" s="60">
        <v>46326</v>
      </c>
      <c r="K107" s="58">
        <v>0.75</v>
      </c>
      <c r="L107" s="36" t="s">
        <v>167</v>
      </c>
      <c r="M107" s="55" t="s">
        <v>231</v>
      </c>
      <c r="N107" s="44">
        <v>0.75</v>
      </c>
    </row>
    <row r="108" spans="1:14" ht="15.75" customHeight="1">
      <c r="A108" s="1"/>
      <c r="B108" s="34">
        <v>24</v>
      </c>
      <c r="C108" s="40" t="s">
        <v>196</v>
      </c>
      <c r="D108" s="36" t="s">
        <v>221</v>
      </c>
      <c r="E108" s="41" t="s">
        <v>180</v>
      </c>
      <c r="F108" s="42">
        <v>46092</v>
      </c>
      <c r="G108" s="42">
        <v>46127</v>
      </c>
      <c r="H108" s="63">
        <v>46582</v>
      </c>
      <c r="I108" s="42">
        <v>46144</v>
      </c>
      <c r="J108" s="60">
        <v>46599</v>
      </c>
      <c r="K108" s="58">
        <v>0.05</v>
      </c>
      <c r="L108" s="46" t="s">
        <v>197</v>
      </c>
      <c r="M108" s="46"/>
      <c r="N108" s="44">
        <v>0.25</v>
      </c>
    </row>
    <row r="109" spans="1:14" ht="15.75" customHeight="1">
      <c r="A109" s="1"/>
      <c r="B109" s="34">
        <v>25</v>
      </c>
      <c r="C109" s="40" t="s">
        <v>198</v>
      </c>
      <c r="D109" s="41" t="s">
        <v>199</v>
      </c>
      <c r="E109" s="41" t="s">
        <v>190</v>
      </c>
      <c r="F109" s="42">
        <v>45819</v>
      </c>
      <c r="G109" s="42">
        <v>45832</v>
      </c>
      <c r="H109" s="63">
        <v>46196</v>
      </c>
      <c r="I109" s="42">
        <v>45984</v>
      </c>
      <c r="J109" s="60">
        <v>46371</v>
      </c>
      <c r="K109" s="58">
        <v>0.48</v>
      </c>
      <c r="L109" s="46" t="s">
        <v>200</v>
      </c>
      <c r="M109" s="46"/>
      <c r="N109" s="44">
        <v>0.5</v>
      </c>
    </row>
    <row r="110" spans="1:14" ht="15.75" customHeight="1">
      <c r="A110" s="1"/>
      <c r="B110" s="34">
        <v>26</v>
      </c>
      <c r="C110" s="40" t="s">
        <v>201</v>
      </c>
      <c r="D110" s="36" t="s">
        <v>220</v>
      </c>
      <c r="E110" s="41" t="s">
        <v>180</v>
      </c>
      <c r="F110" s="42">
        <v>46097</v>
      </c>
      <c r="G110" s="42">
        <v>46136</v>
      </c>
      <c r="H110" s="63">
        <v>46500</v>
      </c>
      <c r="I110" s="42">
        <v>46155</v>
      </c>
      <c r="J110" s="60">
        <v>46538</v>
      </c>
      <c r="K110" s="58">
        <v>0.1</v>
      </c>
      <c r="L110" s="46" t="s">
        <v>202</v>
      </c>
      <c r="M110" s="46"/>
      <c r="N110" s="44">
        <v>0.25</v>
      </c>
    </row>
    <row r="111" spans="1:14" ht="15.75" customHeight="1">
      <c r="A111" s="1"/>
      <c r="B111" s="34">
        <v>27</v>
      </c>
      <c r="C111" s="40" t="s">
        <v>203</v>
      </c>
      <c r="D111" s="46" t="s">
        <v>193</v>
      </c>
      <c r="E111" s="41" t="s">
        <v>180</v>
      </c>
      <c r="F111" s="42">
        <v>46097</v>
      </c>
      <c r="G111" s="42">
        <v>46136</v>
      </c>
      <c r="H111" s="63">
        <v>46500</v>
      </c>
      <c r="I111" s="42">
        <v>46155</v>
      </c>
      <c r="J111" s="60">
        <v>46568</v>
      </c>
      <c r="K111" s="58">
        <v>0.05</v>
      </c>
      <c r="L111" s="46" t="s">
        <v>197</v>
      </c>
      <c r="M111" s="46"/>
      <c r="N111" s="44">
        <v>0.25</v>
      </c>
    </row>
    <row r="112" spans="1:14" ht="76.5" customHeight="1">
      <c r="A112" s="1"/>
      <c r="B112" s="34">
        <v>28</v>
      </c>
      <c r="C112" s="40" t="s">
        <v>204</v>
      </c>
      <c r="D112" s="36" t="s">
        <v>205</v>
      </c>
      <c r="E112" s="41" t="s">
        <v>190</v>
      </c>
      <c r="F112" s="42">
        <v>45920</v>
      </c>
      <c r="G112" s="42">
        <v>45814</v>
      </c>
      <c r="H112" s="63">
        <v>46239</v>
      </c>
      <c r="I112" s="42">
        <v>45792</v>
      </c>
      <c r="J112" s="60">
        <v>46371</v>
      </c>
      <c r="K112" s="58">
        <v>0.45</v>
      </c>
      <c r="L112" s="36" t="s">
        <v>206</v>
      </c>
      <c r="M112" s="36" t="s">
        <v>207</v>
      </c>
      <c r="N112" s="44">
        <v>0.5</v>
      </c>
    </row>
    <row r="113" spans="1:14" ht="30" customHeight="1">
      <c r="A113" s="1"/>
      <c r="B113" s="34">
        <v>29</v>
      </c>
      <c r="C113" s="35" t="s">
        <v>208</v>
      </c>
      <c r="D113" s="36" t="s">
        <v>142</v>
      </c>
      <c r="E113" s="41" t="s">
        <v>190</v>
      </c>
      <c r="F113" s="42">
        <v>45805</v>
      </c>
      <c r="G113" s="42">
        <v>46043</v>
      </c>
      <c r="H113" s="63">
        <v>46407</v>
      </c>
      <c r="I113" s="42">
        <v>46043</v>
      </c>
      <c r="J113" s="60">
        <v>46461</v>
      </c>
      <c r="K113" s="58">
        <v>0.25</v>
      </c>
      <c r="L113" s="36" t="s">
        <v>209</v>
      </c>
      <c r="M113" s="41"/>
      <c r="N113" s="44">
        <v>0.5</v>
      </c>
    </row>
    <row r="114" spans="1:14" ht="15.75" customHeight="1">
      <c r="A114" s="1"/>
      <c r="B114" s="34">
        <v>30</v>
      </c>
      <c r="C114" s="40" t="s">
        <v>210</v>
      </c>
      <c r="D114" s="36" t="s">
        <v>162</v>
      </c>
      <c r="E114" s="41" t="s">
        <v>190</v>
      </c>
      <c r="F114" s="42">
        <v>45678</v>
      </c>
      <c r="G114" s="42">
        <v>45712</v>
      </c>
      <c r="H114" s="63">
        <v>46076</v>
      </c>
      <c r="I114" s="42">
        <v>45790</v>
      </c>
      <c r="J114" s="60">
        <v>46446</v>
      </c>
      <c r="K114" s="58">
        <v>0.27</v>
      </c>
      <c r="L114" s="36" t="s">
        <v>209</v>
      </c>
      <c r="M114" s="36"/>
      <c r="N114" s="44">
        <v>0.5</v>
      </c>
    </row>
    <row r="115" spans="1:14" ht="34.5" customHeight="1">
      <c r="A115" s="1"/>
      <c r="B115" s="49"/>
      <c r="C115" s="50"/>
      <c r="D115" s="361" t="s">
        <v>211</v>
      </c>
      <c r="E115" s="362"/>
      <c r="F115" s="51"/>
      <c r="G115" s="363" t="s">
        <v>212</v>
      </c>
      <c r="H115" s="362"/>
      <c r="I115" s="364" t="s">
        <v>213</v>
      </c>
      <c r="J115" s="365"/>
      <c r="K115" s="365"/>
      <c r="L115" s="365"/>
      <c r="M115" s="362"/>
      <c r="N115" s="11"/>
    </row>
    <row r="116" spans="1:14" ht="24.75" customHeight="1">
      <c r="A116" s="1"/>
      <c r="B116" s="366" t="s">
        <v>214</v>
      </c>
      <c r="C116" s="367"/>
      <c r="D116" s="370" t="s">
        <v>215</v>
      </c>
      <c r="E116" s="345"/>
      <c r="F116" s="52"/>
      <c r="G116" s="371"/>
      <c r="H116" s="345"/>
      <c r="I116" s="372"/>
      <c r="J116" s="344"/>
      <c r="K116" s="344"/>
      <c r="L116" s="344"/>
      <c r="M116" s="345"/>
      <c r="N116" s="11"/>
    </row>
    <row r="117" spans="1:14" ht="15.75" customHeight="1" thickBot="1">
      <c r="A117" s="1"/>
      <c r="B117" s="368"/>
      <c r="C117" s="369"/>
      <c r="D117" s="373" t="s">
        <v>216</v>
      </c>
      <c r="E117" s="353"/>
      <c r="F117" s="53"/>
      <c r="G117" s="352" t="s">
        <v>217</v>
      </c>
      <c r="H117" s="353"/>
      <c r="I117" s="354" t="s">
        <v>218</v>
      </c>
      <c r="J117" s="355"/>
      <c r="K117" s="355"/>
      <c r="L117" s="355"/>
      <c r="M117" s="353"/>
      <c r="N117" s="54"/>
    </row>
    <row r="118" spans="1:14" ht="15.75" customHeight="1">
      <c r="A118" s="1"/>
      <c r="B118" s="356"/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357"/>
      <c r="N118" s="2"/>
    </row>
  </sheetData>
  <mergeCells count="19">
    <mergeCell ref="G117:H117"/>
    <mergeCell ref="I117:M117"/>
    <mergeCell ref="B118:M118"/>
    <mergeCell ref="B83:N83"/>
    <mergeCell ref="B99:N99"/>
    <mergeCell ref="D115:E115"/>
    <mergeCell ref="G115:H115"/>
    <mergeCell ref="I115:M115"/>
    <mergeCell ref="B116:C117"/>
    <mergeCell ref="D116:E116"/>
    <mergeCell ref="G116:H116"/>
    <mergeCell ref="I116:M116"/>
    <mergeCell ref="D117:E117"/>
    <mergeCell ref="B81:M81"/>
    <mergeCell ref="B3:N3"/>
    <mergeCell ref="B4:N4"/>
    <mergeCell ref="B6:M6"/>
    <mergeCell ref="B27:M27"/>
    <mergeCell ref="B38:M38"/>
  </mergeCells>
  <printOptions horizontalCentered="1" verticalCentered="1"/>
  <pageMargins left="0.17" right="0.17" top="0.54" bottom="0.36" header="0" footer="0"/>
  <pageSetup paperSize="8"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T35"/>
  <sheetViews>
    <sheetView topLeftCell="A11" zoomScale="92" zoomScaleNormal="85" workbookViewId="0">
      <selection activeCell="K35" sqref="K35"/>
    </sheetView>
  </sheetViews>
  <sheetFormatPr defaultColWidth="14.42578125" defaultRowHeight="39" customHeight="1"/>
  <cols>
    <col min="1" max="1" width="9.140625" style="66" customWidth="1"/>
    <col min="2" max="2" width="8.140625" style="66" customWidth="1"/>
    <col min="3" max="3" width="13.42578125" style="66" customWidth="1"/>
    <col min="4" max="5" width="16" style="66" customWidth="1"/>
    <col min="6" max="6" width="16" style="66" hidden="1" customWidth="1"/>
    <col min="7" max="9" width="16" style="66" customWidth="1"/>
    <col min="10" max="11" width="16" style="113" customWidth="1"/>
    <col min="12" max="12" width="9.28515625" style="66" bestFit="1" customWidth="1"/>
    <col min="13" max="15" width="3.140625" style="66" customWidth="1"/>
    <col min="16" max="16" width="14.42578125" style="100"/>
    <col min="17" max="17" width="13.28515625" style="100" customWidth="1"/>
    <col min="18" max="18" width="13.28515625" style="114" customWidth="1"/>
    <col min="19" max="19" width="13.28515625" style="100" customWidth="1"/>
    <col min="20" max="16384" width="14.42578125" style="66"/>
  </cols>
  <sheetData>
    <row r="2" spans="1:20" ht="39" customHeight="1" thickBot="1">
      <c r="A2" s="67"/>
      <c r="B2" s="68"/>
      <c r="C2" s="69"/>
      <c r="D2" s="70"/>
      <c r="E2" s="70"/>
      <c r="F2" s="70"/>
      <c r="G2" s="70"/>
      <c r="H2" s="70"/>
      <c r="I2" s="70"/>
      <c r="J2" s="109"/>
      <c r="K2" s="109"/>
      <c r="L2" s="68"/>
      <c r="M2" s="68"/>
      <c r="N2" s="68"/>
      <c r="O2" s="68"/>
    </row>
    <row r="3" spans="1:20" ht="39" customHeight="1">
      <c r="A3" s="67"/>
      <c r="B3" s="71"/>
      <c r="C3" s="380" t="s">
        <v>241</v>
      </c>
      <c r="D3" s="380"/>
      <c r="E3" s="380"/>
      <c r="F3" s="380"/>
      <c r="G3" s="384"/>
      <c r="H3" s="385"/>
      <c r="I3" s="385"/>
      <c r="J3" s="385"/>
      <c r="K3" s="385"/>
      <c r="L3" s="386"/>
      <c r="M3" s="68"/>
      <c r="N3" s="68"/>
      <c r="O3" s="68"/>
      <c r="P3" s="374"/>
      <c r="Q3" s="375"/>
      <c r="R3" s="375"/>
      <c r="S3" s="375"/>
      <c r="T3" s="376"/>
    </row>
    <row r="4" spans="1:20" ht="39" customHeight="1">
      <c r="A4" s="67"/>
      <c r="B4" s="72"/>
      <c r="C4" s="381" t="s">
        <v>227</v>
      </c>
      <c r="D4" s="381"/>
      <c r="E4" s="381"/>
      <c r="F4" s="381"/>
      <c r="G4" s="382" t="s">
        <v>235</v>
      </c>
      <c r="H4" s="383"/>
      <c r="I4" s="382" t="s">
        <v>238</v>
      </c>
      <c r="J4" s="383"/>
      <c r="K4" s="183"/>
      <c r="L4" s="73"/>
      <c r="M4" s="68"/>
      <c r="N4" s="68"/>
      <c r="O4" s="68"/>
      <c r="P4" s="377"/>
      <c r="Q4" s="378"/>
      <c r="R4" s="378"/>
      <c r="S4" s="378"/>
      <c r="T4" s="379"/>
    </row>
    <row r="5" spans="1:20" s="79" customFormat="1" ht="66">
      <c r="A5" s="74"/>
      <c r="B5" s="75" t="s">
        <v>1</v>
      </c>
      <c r="C5" s="76" t="s">
        <v>2</v>
      </c>
      <c r="D5" s="76" t="s">
        <v>3</v>
      </c>
      <c r="E5" s="76" t="s">
        <v>4</v>
      </c>
      <c r="F5" s="76" t="s">
        <v>5</v>
      </c>
      <c r="G5" s="76" t="s">
        <v>236</v>
      </c>
      <c r="H5" s="77" t="s">
        <v>237</v>
      </c>
      <c r="I5" s="76" t="s">
        <v>239</v>
      </c>
      <c r="J5" s="110" t="s">
        <v>240</v>
      </c>
      <c r="K5" s="140" t="s">
        <v>263</v>
      </c>
      <c r="L5" s="78" t="s">
        <v>7</v>
      </c>
      <c r="M5" s="115"/>
      <c r="N5" s="182"/>
      <c r="O5" s="182"/>
      <c r="P5" s="128">
        <v>46199</v>
      </c>
      <c r="Q5" s="123" t="s">
        <v>244</v>
      </c>
      <c r="R5" s="124" t="s">
        <v>245</v>
      </c>
      <c r="S5" s="123" t="s">
        <v>246</v>
      </c>
      <c r="T5" s="129" t="s">
        <v>247</v>
      </c>
    </row>
    <row r="6" spans="1:20" ht="27" customHeight="1">
      <c r="A6" s="67"/>
      <c r="B6" s="72">
        <v>1</v>
      </c>
      <c r="C6" s="80" t="s">
        <v>141</v>
      </c>
      <c r="D6" s="81" t="s">
        <v>142</v>
      </c>
      <c r="E6" s="81" t="s">
        <v>143</v>
      </c>
      <c r="F6" s="82">
        <v>45735</v>
      </c>
      <c r="G6" s="82">
        <v>45753</v>
      </c>
      <c r="H6" s="82">
        <v>45797</v>
      </c>
      <c r="I6" s="83">
        <v>46117</v>
      </c>
      <c r="J6" s="111">
        <v>46356</v>
      </c>
      <c r="K6" s="184" t="s">
        <v>243</v>
      </c>
      <c r="L6" s="84">
        <v>0.6</v>
      </c>
      <c r="M6" s="116"/>
      <c r="N6" s="116"/>
      <c r="O6" s="116"/>
      <c r="P6" s="127">
        <f>J6-$P$5</f>
        <v>157</v>
      </c>
      <c r="Q6" s="121">
        <f>J6-I6</f>
        <v>239</v>
      </c>
      <c r="R6" s="122">
        <f>Q6/30</f>
        <v>7.9666666666666668</v>
      </c>
      <c r="S6" s="121">
        <f>J6-G6</f>
        <v>603</v>
      </c>
      <c r="T6" s="130">
        <f>S6/30</f>
        <v>20.100000000000001</v>
      </c>
    </row>
    <row r="7" spans="1:20" ht="27" customHeight="1">
      <c r="A7" s="67"/>
      <c r="B7" s="72">
        <v>2</v>
      </c>
      <c r="C7" s="80" t="s">
        <v>145</v>
      </c>
      <c r="D7" s="81" t="s">
        <v>146</v>
      </c>
      <c r="E7" s="81" t="s">
        <v>143</v>
      </c>
      <c r="F7" s="82">
        <v>45679</v>
      </c>
      <c r="G7" s="82">
        <v>45712</v>
      </c>
      <c r="H7" s="82">
        <v>45762</v>
      </c>
      <c r="I7" s="83">
        <v>46076</v>
      </c>
      <c r="J7" s="111">
        <v>46265</v>
      </c>
      <c r="K7" s="184" t="s">
        <v>243</v>
      </c>
      <c r="L7" s="84">
        <v>0.92</v>
      </c>
      <c r="M7" s="116"/>
      <c r="N7" s="116"/>
      <c r="O7" s="116"/>
      <c r="P7" s="127">
        <f t="shared" ref="P7:P35" si="0">J7-$P$5</f>
        <v>66</v>
      </c>
      <c r="Q7" s="121">
        <f t="shared" ref="Q7:Q35" si="1">J7-I7</f>
        <v>189</v>
      </c>
      <c r="R7" s="122">
        <f t="shared" ref="R7:R35" si="2">Q7/30</f>
        <v>6.3</v>
      </c>
      <c r="S7" s="121">
        <f t="shared" ref="S7:S35" si="3">J7-G7</f>
        <v>553</v>
      </c>
      <c r="T7" s="130">
        <f t="shared" ref="T7:T35" si="4">S7/30</f>
        <v>18.433333333333334</v>
      </c>
    </row>
    <row r="8" spans="1:20" ht="27" customHeight="1">
      <c r="A8" s="67"/>
      <c r="B8" s="72">
        <v>3</v>
      </c>
      <c r="C8" s="80" t="s">
        <v>148</v>
      </c>
      <c r="D8" s="81" t="s">
        <v>149</v>
      </c>
      <c r="E8" s="81" t="s">
        <v>143</v>
      </c>
      <c r="F8" s="82">
        <v>45847</v>
      </c>
      <c r="G8" s="82">
        <v>45893</v>
      </c>
      <c r="H8" s="82">
        <v>45979</v>
      </c>
      <c r="I8" s="83">
        <v>46257</v>
      </c>
      <c r="J8" s="111">
        <v>46387</v>
      </c>
      <c r="K8" s="184" t="s">
        <v>243</v>
      </c>
      <c r="L8" s="84">
        <v>0.4</v>
      </c>
      <c r="M8" s="116"/>
      <c r="N8" s="116"/>
      <c r="O8" s="116"/>
      <c r="P8" s="127">
        <f t="shared" si="0"/>
        <v>188</v>
      </c>
      <c r="Q8" s="121">
        <f t="shared" si="1"/>
        <v>130</v>
      </c>
      <c r="R8" s="122">
        <f t="shared" si="2"/>
        <v>4.333333333333333</v>
      </c>
      <c r="S8" s="121">
        <f t="shared" si="3"/>
        <v>494</v>
      </c>
      <c r="T8" s="130">
        <f t="shared" si="4"/>
        <v>16.466666666666665</v>
      </c>
    </row>
    <row r="9" spans="1:20" ht="27" customHeight="1">
      <c r="A9" s="67"/>
      <c r="B9" s="72">
        <v>4</v>
      </c>
      <c r="C9" s="80" t="s">
        <v>151</v>
      </c>
      <c r="D9" s="81" t="s">
        <v>146</v>
      </c>
      <c r="E9" s="81" t="s">
        <v>143</v>
      </c>
      <c r="F9" s="82">
        <v>45677</v>
      </c>
      <c r="G9" s="82">
        <v>45703</v>
      </c>
      <c r="H9" s="82">
        <v>45765</v>
      </c>
      <c r="I9" s="83">
        <v>46067</v>
      </c>
      <c r="J9" s="111">
        <v>46234</v>
      </c>
      <c r="K9" s="184" t="s">
        <v>243</v>
      </c>
      <c r="L9" s="84">
        <v>0.95</v>
      </c>
      <c r="M9" s="116"/>
      <c r="N9" s="116"/>
      <c r="O9" s="116"/>
      <c r="P9" s="127">
        <f t="shared" si="0"/>
        <v>35</v>
      </c>
      <c r="Q9" s="121">
        <f t="shared" si="1"/>
        <v>167</v>
      </c>
      <c r="R9" s="122">
        <f t="shared" si="2"/>
        <v>5.5666666666666664</v>
      </c>
      <c r="S9" s="121">
        <f t="shared" si="3"/>
        <v>531</v>
      </c>
      <c r="T9" s="130">
        <f t="shared" si="4"/>
        <v>17.7</v>
      </c>
    </row>
    <row r="10" spans="1:20" ht="27" customHeight="1">
      <c r="A10" s="67"/>
      <c r="B10" s="72">
        <v>5</v>
      </c>
      <c r="C10" s="80" t="s">
        <v>153</v>
      </c>
      <c r="D10" s="81" t="s">
        <v>146</v>
      </c>
      <c r="E10" s="81" t="s">
        <v>154</v>
      </c>
      <c r="F10" s="82">
        <v>46023</v>
      </c>
      <c r="G10" s="82">
        <v>46073</v>
      </c>
      <c r="H10" s="82">
        <v>46073</v>
      </c>
      <c r="I10" s="83">
        <v>46437</v>
      </c>
      <c r="J10" s="111">
        <v>46568</v>
      </c>
      <c r="K10" s="184">
        <f t="shared" ref="K10:K35" si="5">(J10-I10)/30</f>
        <v>4.3666666666666663</v>
      </c>
      <c r="L10" s="84">
        <v>0.15</v>
      </c>
      <c r="M10" s="116"/>
      <c r="N10" s="116"/>
      <c r="O10" s="116"/>
      <c r="P10" s="127" t="s">
        <v>243</v>
      </c>
      <c r="Q10" s="121">
        <f t="shared" si="1"/>
        <v>131</v>
      </c>
      <c r="R10" s="122">
        <f t="shared" si="2"/>
        <v>4.3666666666666663</v>
      </c>
      <c r="S10" s="121">
        <f t="shared" si="3"/>
        <v>495</v>
      </c>
      <c r="T10" s="130">
        <f t="shared" si="4"/>
        <v>16.5</v>
      </c>
    </row>
    <row r="11" spans="1:20" ht="27" customHeight="1">
      <c r="A11" s="67"/>
      <c r="B11" s="72">
        <v>6</v>
      </c>
      <c r="C11" s="80" t="s">
        <v>156</v>
      </c>
      <c r="D11" s="81" t="s">
        <v>146</v>
      </c>
      <c r="E11" s="81" t="s">
        <v>157</v>
      </c>
      <c r="F11" s="82">
        <v>45829</v>
      </c>
      <c r="G11" s="82">
        <v>45862</v>
      </c>
      <c r="H11" s="82">
        <v>45973</v>
      </c>
      <c r="I11" s="83">
        <v>46226</v>
      </c>
      <c r="J11" s="111">
        <v>46356</v>
      </c>
      <c r="K11" s="184" t="s">
        <v>243</v>
      </c>
      <c r="L11" s="84">
        <v>0.45</v>
      </c>
      <c r="M11" s="116"/>
      <c r="N11" s="116"/>
      <c r="O11" s="116"/>
      <c r="P11" s="127">
        <f t="shared" si="0"/>
        <v>157</v>
      </c>
      <c r="Q11" s="121">
        <f t="shared" si="1"/>
        <v>130</v>
      </c>
      <c r="R11" s="122">
        <f t="shared" si="2"/>
        <v>4.333333333333333</v>
      </c>
      <c r="S11" s="121">
        <f t="shared" si="3"/>
        <v>494</v>
      </c>
      <c r="T11" s="130">
        <f t="shared" si="4"/>
        <v>16.466666666666665</v>
      </c>
    </row>
    <row r="12" spans="1:20" ht="27" customHeight="1">
      <c r="A12" s="67"/>
      <c r="B12" s="72">
        <v>7</v>
      </c>
      <c r="C12" s="80" t="s">
        <v>159</v>
      </c>
      <c r="D12" s="81" t="s">
        <v>146</v>
      </c>
      <c r="E12" s="81" t="s">
        <v>160</v>
      </c>
      <c r="F12" s="82">
        <v>46074</v>
      </c>
      <c r="G12" s="82">
        <v>46118</v>
      </c>
      <c r="H12" s="82">
        <v>46163</v>
      </c>
      <c r="I12" s="83">
        <v>46482</v>
      </c>
      <c r="J12" s="111">
        <v>46599</v>
      </c>
      <c r="K12" s="184">
        <f t="shared" si="5"/>
        <v>3.9</v>
      </c>
      <c r="L12" s="85">
        <v>0.05</v>
      </c>
      <c r="M12" s="117"/>
      <c r="N12" s="117"/>
      <c r="O12" s="117"/>
      <c r="P12" s="127" t="s">
        <v>243</v>
      </c>
      <c r="Q12" s="121">
        <f t="shared" si="1"/>
        <v>117</v>
      </c>
      <c r="R12" s="122">
        <f t="shared" si="2"/>
        <v>3.9</v>
      </c>
      <c r="S12" s="121">
        <f t="shared" si="3"/>
        <v>481</v>
      </c>
      <c r="T12" s="130">
        <f t="shared" si="4"/>
        <v>16.033333333333335</v>
      </c>
    </row>
    <row r="13" spans="1:20" ht="27" customHeight="1">
      <c r="A13" s="67"/>
      <c r="B13" s="72">
        <v>8</v>
      </c>
      <c r="C13" s="80" t="s">
        <v>161</v>
      </c>
      <c r="D13" s="81" t="s">
        <v>219</v>
      </c>
      <c r="E13" s="81" t="s">
        <v>160</v>
      </c>
      <c r="F13" s="82">
        <v>46112</v>
      </c>
      <c r="G13" s="82">
        <v>46148</v>
      </c>
      <c r="H13" s="82">
        <v>46163</v>
      </c>
      <c r="I13" s="83">
        <v>46604</v>
      </c>
      <c r="J13" s="111">
        <v>46721</v>
      </c>
      <c r="K13" s="184">
        <f t="shared" si="5"/>
        <v>3.9</v>
      </c>
      <c r="L13" s="85">
        <v>0.05</v>
      </c>
      <c r="M13" s="117"/>
      <c r="N13" s="117"/>
      <c r="O13" s="117"/>
      <c r="P13" s="127" t="s">
        <v>243</v>
      </c>
      <c r="Q13" s="121">
        <f t="shared" si="1"/>
        <v>117</v>
      </c>
      <c r="R13" s="122">
        <f t="shared" si="2"/>
        <v>3.9</v>
      </c>
      <c r="S13" s="121">
        <f t="shared" si="3"/>
        <v>573</v>
      </c>
      <c r="T13" s="130">
        <f t="shared" si="4"/>
        <v>19.100000000000001</v>
      </c>
    </row>
    <row r="14" spans="1:20" ht="27" customHeight="1">
      <c r="A14" s="67"/>
      <c r="B14" s="72">
        <v>9</v>
      </c>
      <c r="C14" s="80" t="s">
        <v>163</v>
      </c>
      <c r="D14" s="81" t="s">
        <v>149</v>
      </c>
      <c r="E14" s="81" t="s">
        <v>143</v>
      </c>
      <c r="F14" s="82">
        <v>45867</v>
      </c>
      <c r="G14" s="82">
        <v>45893</v>
      </c>
      <c r="H14" s="82">
        <v>45978</v>
      </c>
      <c r="I14" s="83">
        <v>46257</v>
      </c>
      <c r="J14" s="111">
        <v>46446</v>
      </c>
      <c r="K14" s="184">
        <f t="shared" si="5"/>
        <v>6.3</v>
      </c>
      <c r="L14" s="85">
        <v>0.38</v>
      </c>
      <c r="M14" s="117"/>
      <c r="N14" s="117"/>
      <c r="O14" s="117"/>
      <c r="P14" s="127">
        <f t="shared" si="0"/>
        <v>247</v>
      </c>
      <c r="Q14" s="121">
        <f t="shared" si="1"/>
        <v>189</v>
      </c>
      <c r="R14" s="122">
        <f t="shared" si="2"/>
        <v>6.3</v>
      </c>
      <c r="S14" s="121">
        <f t="shared" si="3"/>
        <v>553</v>
      </c>
      <c r="T14" s="130">
        <f t="shared" si="4"/>
        <v>18.433333333333334</v>
      </c>
    </row>
    <row r="15" spans="1:20" ht="27" customHeight="1">
      <c r="A15" s="67"/>
      <c r="B15" s="72">
        <v>10</v>
      </c>
      <c r="C15" s="80" t="s">
        <v>165</v>
      </c>
      <c r="D15" s="81" t="s">
        <v>162</v>
      </c>
      <c r="E15" s="81" t="s">
        <v>143</v>
      </c>
      <c r="F15" s="82">
        <v>45836</v>
      </c>
      <c r="G15" s="82">
        <v>45884</v>
      </c>
      <c r="H15" s="82">
        <v>45979</v>
      </c>
      <c r="I15" s="83">
        <v>46248</v>
      </c>
      <c r="J15" s="111">
        <v>46446</v>
      </c>
      <c r="K15" s="184">
        <f t="shared" si="5"/>
        <v>6.6</v>
      </c>
      <c r="L15" s="84">
        <v>0.3</v>
      </c>
      <c r="M15" s="116"/>
      <c r="N15" s="116"/>
      <c r="O15" s="116"/>
      <c r="P15" s="127">
        <f t="shared" si="0"/>
        <v>247</v>
      </c>
      <c r="Q15" s="121">
        <f t="shared" si="1"/>
        <v>198</v>
      </c>
      <c r="R15" s="122">
        <f t="shared" si="2"/>
        <v>6.6</v>
      </c>
      <c r="S15" s="121">
        <f t="shared" si="3"/>
        <v>562</v>
      </c>
      <c r="T15" s="130">
        <f t="shared" si="4"/>
        <v>18.733333333333334</v>
      </c>
    </row>
    <row r="16" spans="1:20" ht="27" customHeight="1">
      <c r="A16" s="67"/>
      <c r="B16" s="72">
        <v>11</v>
      </c>
      <c r="C16" s="80" t="s">
        <v>166</v>
      </c>
      <c r="D16" s="81" t="s">
        <v>146</v>
      </c>
      <c r="E16" s="81" t="s">
        <v>143</v>
      </c>
      <c r="F16" s="82">
        <v>45769</v>
      </c>
      <c r="G16" s="82">
        <v>45801</v>
      </c>
      <c r="H16" s="82">
        <v>45797</v>
      </c>
      <c r="I16" s="83">
        <v>46165</v>
      </c>
      <c r="J16" s="111">
        <v>46325</v>
      </c>
      <c r="K16" s="184" t="s">
        <v>243</v>
      </c>
      <c r="L16" s="84">
        <v>0.6</v>
      </c>
      <c r="M16" s="116"/>
      <c r="N16" s="116"/>
      <c r="O16" s="116"/>
      <c r="P16" s="127">
        <f t="shared" si="0"/>
        <v>126</v>
      </c>
      <c r="Q16" s="121">
        <f t="shared" si="1"/>
        <v>160</v>
      </c>
      <c r="R16" s="122">
        <f t="shared" si="2"/>
        <v>5.333333333333333</v>
      </c>
      <c r="S16" s="121">
        <f t="shared" si="3"/>
        <v>524</v>
      </c>
      <c r="T16" s="130">
        <f t="shared" si="4"/>
        <v>17.466666666666665</v>
      </c>
    </row>
    <row r="17" spans="1:20" ht="27" customHeight="1">
      <c r="A17" s="67"/>
      <c r="B17" s="72">
        <v>12</v>
      </c>
      <c r="C17" s="80" t="s">
        <v>168</v>
      </c>
      <c r="D17" s="81" t="s">
        <v>146</v>
      </c>
      <c r="E17" s="81" t="s">
        <v>154</v>
      </c>
      <c r="F17" s="82">
        <v>45869</v>
      </c>
      <c r="G17" s="82">
        <v>45906</v>
      </c>
      <c r="H17" s="82">
        <v>46007</v>
      </c>
      <c r="I17" s="83">
        <v>46270</v>
      </c>
      <c r="J17" s="111">
        <v>46507</v>
      </c>
      <c r="K17" s="184">
        <f t="shared" si="5"/>
        <v>7.9</v>
      </c>
      <c r="L17" s="84">
        <v>0.18</v>
      </c>
      <c r="M17" s="116"/>
      <c r="N17" s="116"/>
      <c r="O17" s="116"/>
      <c r="P17" s="127">
        <f t="shared" si="0"/>
        <v>308</v>
      </c>
      <c r="Q17" s="121">
        <f t="shared" si="1"/>
        <v>237</v>
      </c>
      <c r="R17" s="122">
        <f t="shared" si="2"/>
        <v>7.9</v>
      </c>
      <c r="S17" s="121">
        <f t="shared" si="3"/>
        <v>601</v>
      </c>
      <c r="T17" s="130">
        <f t="shared" si="4"/>
        <v>20.033333333333335</v>
      </c>
    </row>
    <row r="18" spans="1:20" ht="27" customHeight="1">
      <c r="A18" s="67"/>
      <c r="B18" s="72">
        <v>13</v>
      </c>
      <c r="C18" s="80" t="s">
        <v>170</v>
      </c>
      <c r="D18" s="81" t="s">
        <v>171</v>
      </c>
      <c r="E18" s="81" t="s">
        <v>143</v>
      </c>
      <c r="F18" s="82">
        <v>45800</v>
      </c>
      <c r="G18" s="82">
        <v>45832</v>
      </c>
      <c r="H18" s="82">
        <v>45972</v>
      </c>
      <c r="I18" s="83">
        <v>46196</v>
      </c>
      <c r="J18" s="111">
        <v>46446</v>
      </c>
      <c r="K18" s="184">
        <f t="shared" si="5"/>
        <v>8.3333333333333339</v>
      </c>
      <c r="L18" s="84">
        <v>0.38</v>
      </c>
      <c r="M18" s="116"/>
      <c r="N18" s="116"/>
      <c r="O18" s="116"/>
      <c r="P18" s="127">
        <f t="shared" si="0"/>
        <v>247</v>
      </c>
      <c r="Q18" s="121">
        <f t="shared" si="1"/>
        <v>250</v>
      </c>
      <c r="R18" s="122">
        <f t="shared" si="2"/>
        <v>8.3333333333333339</v>
      </c>
      <c r="S18" s="121">
        <f t="shared" si="3"/>
        <v>614</v>
      </c>
      <c r="T18" s="130">
        <f t="shared" si="4"/>
        <v>20.466666666666665</v>
      </c>
    </row>
    <row r="19" spans="1:20" s="101" customFormat="1" ht="27" customHeight="1">
      <c r="B19" s="102">
        <v>14</v>
      </c>
      <c r="C19" s="103" t="s">
        <v>173</v>
      </c>
      <c r="D19" s="104" t="s">
        <v>146</v>
      </c>
      <c r="E19" s="105" t="s">
        <v>143</v>
      </c>
      <c r="F19" s="106">
        <v>45694</v>
      </c>
      <c r="G19" s="106">
        <v>45731</v>
      </c>
      <c r="H19" s="106">
        <v>45764</v>
      </c>
      <c r="I19" s="107">
        <v>46095</v>
      </c>
      <c r="J19" s="99">
        <v>46245</v>
      </c>
      <c r="K19" s="184" t="s">
        <v>243</v>
      </c>
      <c r="L19" s="108">
        <v>0.8</v>
      </c>
      <c r="M19" s="118"/>
      <c r="N19" s="118"/>
      <c r="O19" s="118"/>
      <c r="P19" s="102">
        <f t="shared" si="0"/>
        <v>46</v>
      </c>
      <c r="Q19" s="125">
        <f t="shared" si="1"/>
        <v>150</v>
      </c>
      <c r="R19" s="126">
        <f t="shared" si="2"/>
        <v>5</v>
      </c>
      <c r="S19" s="121">
        <f t="shared" si="3"/>
        <v>514</v>
      </c>
      <c r="T19" s="130">
        <f t="shared" si="4"/>
        <v>17.133333333333333</v>
      </c>
    </row>
    <row r="20" spans="1:20" ht="27" customHeight="1">
      <c r="A20" s="67"/>
      <c r="B20" s="72">
        <v>15</v>
      </c>
      <c r="C20" s="80" t="s">
        <v>176</v>
      </c>
      <c r="D20" s="81" t="s">
        <v>146</v>
      </c>
      <c r="E20" s="81" t="s">
        <v>154</v>
      </c>
      <c r="F20" s="82">
        <v>45957</v>
      </c>
      <c r="G20" s="82">
        <v>46077</v>
      </c>
      <c r="H20" s="82">
        <v>46073</v>
      </c>
      <c r="I20" s="83">
        <v>46441</v>
      </c>
      <c r="J20" s="111">
        <v>46568</v>
      </c>
      <c r="K20" s="184">
        <f t="shared" si="5"/>
        <v>4.2333333333333334</v>
      </c>
      <c r="L20" s="85">
        <v>0.15</v>
      </c>
      <c r="M20" s="117"/>
      <c r="N20" s="117"/>
      <c r="O20" s="117"/>
      <c r="P20" s="127" t="s">
        <v>243</v>
      </c>
      <c r="Q20" s="121">
        <f t="shared" si="1"/>
        <v>127</v>
      </c>
      <c r="R20" s="122">
        <f t="shared" si="2"/>
        <v>4.2333333333333334</v>
      </c>
      <c r="S20" s="121">
        <f t="shared" si="3"/>
        <v>491</v>
      </c>
      <c r="T20" s="130">
        <f t="shared" si="4"/>
        <v>16.366666666666667</v>
      </c>
    </row>
    <row r="21" spans="1:20" ht="27" customHeight="1">
      <c r="A21" s="67"/>
      <c r="B21" s="72">
        <v>16</v>
      </c>
      <c r="C21" s="86" t="s">
        <v>178</v>
      </c>
      <c r="D21" s="81" t="s">
        <v>179</v>
      </c>
      <c r="E21" s="87" t="s">
        <v>242</v>
      </c>
      <c r="F21" s="88">
        <v>46051</v>
      </c>
      <c r="G21" s="88">
        <v>46068</v>
      </c>
      <c r="H21" s="88">
        <v>46073</v>
      </c>
      <c r="I21" s="89">
        <v>46432</v>
      </c>
      <c r="J21" s="111">
        <v>46630</v>
      </c>
      <c r="K21" s="184">
        <f t="shared" si="5"/>
        <v>6.6</v>
      </c>
      <c r="L21" s="91">
        <v>0.18</v>
      </c>
      <c r="M21" s="119"/>
      <c r="N21" s="119"/>
      <c r="O21" s="119"/>
      <c r="P21" s="127" t="s">
        <v>243</v>
      </c>
      <c r="Q21" s="121">
        <f t="shared" si="1"/>
        <v>198</v>
      </c>
      <c r="R21" s="122">
        <f t="shared" si="2"/>
        <v>6.6</v>
      </c>
      <c r="S21" s="121">
        <f t="shared" si="3"/>
        <v>562</v>
      </c>
      <c r="T21" s="130">
        <f t="shared" si="4"/>
        <v>18.733333333333334</v>
      </c>
    </row>
    <row r="22" spans="1:20" ht="27" customHeight="1">
      <c r="A22" s="67"/>
      <c r="B22" s="72">
        <v>17</v>
      </c>
      <c r="C22" s="86" t="s">
        <v>182</v>
      </c>
      <c r="D22" s="81" t="s">
        <v>220</v>
      </c>
      <c r="E22" s="87" t="s">
        <v>242</v>
      </c>
      <c r="F22" s="88">
        <v>46164</v>
      </c>
      <c r="G22" s="88">
        <v>46188</v>
      </c>
      <c r="H22" s="88">
        <v>46177</v>
      </c>
      <c r="I22" s="89">
        <v>46507</v>
      </c>
      <c r="J22" s="111">
        <v>46644</v>
      </c>
      <c r="K22" s="184">
        <f t="shared" si="5"/>
        <v>4.5666666666666664</v>
      </c>
      <c r="L22" s="91">
        <v>0.02</v>
      </c>
      <c r="M22" s="119"/>
      <c r="N22" s="119"/>
      <c r="O22" s="119"/>
      <c r="P22" s="127" t="s">
        <v>243</v>
      </c>
      <c r="Q22" s="121">
        <f t="shared" si="1"/>
        <v>137</v>
      </c>
      <c r="R22" s="122">
        <f t="shared" si="2"/>
        <v>4.5666666666666664</v>
      </c>
      <c r="S22" s="121">
        <f t="shared" si="3"/>
        <v>456</v>
      </c>
      <c r="T22" s="130">
        <f t="shared" si="4"/>
        <v>15.2</v>
      </c>
    </row>
    <row r="23" spans="1:20" ht="27" customHeight="1">
      <c r="A23" s="67"/>
      <c r="B23" s="72">
        <v>18</v>
      </c>
      <c r="C23" s="86" t="s">
        <v>183</v>
      </c>
      <c r="D23" s="81" t="s">
        <v>171</v>
      </c>
      <c r="E23" s="87" t="s">
        <v>242</v>
      </c>
      <c r="F23" s="88">
        <v>46174</v>
      </c>
      <c r="G23" s="88">
        <v>46188</v>
      </c>
      <c r="H23" s="88">
        <v>46177</v>
      </c>
      <c r="I23" s="89">
        <v>46568</v>
      </c>
      <c r="J23" s="111">
        <v>46736</v>
      </c>
      <c r="K23" s="184">
        <f t="shared" si="5"/>
        <v>5.6</v>
      </c>
      <c r="L23" s="91">
        <v>0.05</v>
      </c>
      <c r="M23" s="119"/>
      <c r="N23" s="119"/>
      <c r="O23" s="119"/>
      <c r="P23" s="127" t="s">
        <v>243</v>
      </c>
      <c r="Q23" s="121">
        <f t="shared" si="1"/>
        <v>168</v>
      </c>
      <c r="R23" s="122">
        <f t="shared" si="2"/>
        <v>5.6</v>
      </c>
      <c r="S23" s="121">
        <f t="shared" si="3"/>
        <v>548</v>
      </c>
      <c r="T23" s="130">
        <f t="shared" si="4"/>
        <v>18.266666666666666</v>
      </c>
    </row>
    <row r="24" spans="1:20" ht="27" customHeight="1">
      <c r="A24" s="67"/>
      <c r="B24" s="72">
        <v>19</v>
      </c>
      <c r="C24" s="86" t="s">
        <v>184</v>
      </c>
      <c r="D24" s="81" t="s">
        <v>146</v>
      </c>
      <c r="E24" s="87" t="s">
        <v>185</v>
      </c>
      <c r="F24" s="88">
        <v>46078</v>
      </c>
      <c r="G24" s="88">
        <v>46118</v>
      </c>
      <c r="H24" s="88">
        <v>46159</v>
      </c>
      <c r="I24" s="89">
        <v>46482</v>
      </c>
      <c r="J24" s="111">
        <v>46599</v>
      </c>
      <c r="K24" s="184">
        <f t="shared" si="5"/>
        <v>3.9</v>
      </c>
      <c r="L24" s="91">
        <v>0.05</v>
      </c>
      <c r="M24" s="119"/>
      <c r="N24" s="119"/>
      <c r="O24" s="119"/>
      <c r="P24" s="127" t="s">
        <v>243</v>
      </c>
      <c r="Q24" s="121">
        <f t="shared" si="1"/>
        <v>117</v>
      </c>
      <c r="R24" s="122">
        <f t="shared" si="2"/>
        <v>3.9</v>
      </c>
      <c r="S24" s="121">
        <f t="shared" si="3"/>
        <v>481</v>
      </c>
      <c r="T24" s="130">
        <f t="shared" si="4"/>
        <v>16.033333333333335</v>
      </c>
    </row>
    <row r="25" spans="1:20" ht="27" customHeight="1">
      <c r="A25" s="67"/>
      <c r="B25" s="72">
        <v>20</v>
      </c>
      <c r="C25" s="86" t="s">
        <v>187</v>
      </c>
      <c r="D25" s="81" t="s">
        <v>171</v>
      </c>
      <c r="E25" s="87" t="s">
        <v>185</v>
      </c>
      <c r="F25" s="88">
        <v>46063</v>
      </c>
      <c r="G25" s="88">
        <v>46148</v>
      </c>
      <c r="H25" s="88">
        <v>46159</v>
      </c>
      <c r="I25" s="89">
        <v>46604</v>
      </c>
      <c r="J25" s="111">
        <v>46721</v>
      </c>
      <c r="K25" s="184">
        <f t="shared" si="5"/>
        <v>3.9</v>
      </c>
      <c r="L25" s="91">
        <v>0.05</v>
      </c>
      <c r="M25" s="119"/>
      <c r="N25" s="119"/>
      <c r="O25" s="119"/>
      <c r="P25" s="127" t="s">
        <v>243</v>
      </c>
      <c r="Q25" s="121">
        <f t="shared" si="1"/>
        <v>117</v>
      </c>
      <c r="R25" s="122">
        <f t="shared" si="2"/>
        <v>3.9</v>
      </c>
      <c r="S25" s="121">
        <f t="shared" si="3"/>
        <v>573</v>
      </c>
      <c r="T25" s="130">
        <f t="shared" si="4"/>
        <v>19.100000000000001</v>
      </c>
    </row>
    <row r="26" spans="1:20" ht="27" customHeight="1">
      <c r="A26" s="67"/>
      <c r="B26" s="72">
        <v>21</v>
      </c>
      <c r="C26" s="86" t="s">
        <v>188</v>
      </c>
      <c r="D26" s="81" t="s">
        <v>189</v>
      </c>
      <c r="E26" s="87" t="s">
        <v>190</v>
      </c>
      <c r="F26" s="88">
        <v>45777</v>
      </c>
      <c r="G26" s="88">
        <v>45814</v>
      </c>
      <c r="H26" s="88">
        <v>45814</v>
      </c>
      <c r="I26" s="89">
        <v>46178</v>
      </c>
      <c r="J26" s="111">
        <v>46310</v>
      </c>
      <c r="K26" s="184" t="s">
        <v>243</v>
      </c>
      <c r="L26" s="91">
        <v>0.85</v>
      </c>
      <c r="M26" s="119"/>
      <c r="N26" s="119"/>
      <c r="O26" s="119"/>
      <c r="P26" s="127" t="s">
        <v>243</v>
      </c>
      <c r="Q26" s="121">
        <f t="shared" si="1"/>
        <v>132</v>
      </c>
      <c r="R26" s="122">
        <f t="shared" si="2"/>
        <v>4.4000000000000004</v>
      </c>
      <c r="S26" s="121">
        <f t="shared" si="3"/>
        <v>496</v>
      </c>
      <c r="T26" s="130">
        <f t="shared" si="4"/>
        <v>16.533333333333335</v>
      </c>
    </row>
    <row r="27" spans="1:20" ht="27" customHeight="1">
      <c r="A27" s="67"/>
      <c r="B27" s="72">
        <v>22</v>
      </c>
      <c r="C27" s="86" t="s">
        <v>192</v>
      </c>
      <c r="D27" s="81" t="s">
        <v>193</v>
      </c>
      <c r="E27" s="87" t="s">
        <v>190</v>
      </c>
      <c r="F27" s="88">
        <v>45681</v>
      </c>
      <c r="G27" s="88">
        <v>45712</v>
      </c>
      <c r="H27" s="88">
        <v>45792</v>
      </c>
      <c r="I27" s="89">
        <v>46076</v>
      </c>
      <c r="J27" s="111">
        <v>46295</v>
      </c>
      <c r="K27" s="184" t="s">
        <v>243</v>
      </c>
      <c r="L27" s="90">
        <v>0.9</v>
      </c>
      <c r="M27" s="120"/>
      <c r="N27" s="120"/>
      <c r="O27" s="120"/>
      <c r="P27" s="127">
        <f t="shared" si="0"/>
        <v>96</v>
      </c>
      <c r="Q27" s="121">
        <f t="shared" si="1"/>
        <v>219</v>
      </c>
      <c r="R27" s="122">
        <f t="shared" si="2"/>
        <v>7.3</v>
      </c>
      <c r="S27" s="121">
        <f t="shared" si="3"/>
        <v>583</v>
      </c>
      <c r="T27" s="130">
        <f t="shared" si="4"/>
        <v>19.433333333333334</v>
      </c>
    </row>
    <row r="28" spans="1:20" ht="27" customHeight="1">
      <c r="A28" s="67"/>
      <c r="B28" s="72">
        <v>23</v>
      </c>
      <c r="C28" s="86" t="s">
        <v>195</v>
      </c>
      <c r="D28" s="81" t="s">
        <v>189</v>
      </c>
      <c r="E28" s="87" t="s">
        <v>190</v>
      </c>
      <c r="F28" s="88">
        <v>45799</v>
      </c>
      <c r="G28" s="88">
        <v>45823</v>
      </c>
      <c r="H28" s="88">
        <v>45817</v>
      </c>
      <c r="I28" s="89">
        <v>46187</v>
      </c>
      <c r="J28" s="111">
        <v>46387</v>
      </c>
      <c r="K28" s="184" t="s">
        <v>243</v>
      </c>
      <c r="L28" s="90">
        <v>0.75</v>
      </c>
      <c r="M28" s="120"/>
      <c r="N28" s="120"/>
      <c r="O28" s="120"/>
      <c r="P28" s="127">
        <f t="shared" si="0"/>
        <v>188</v>
      </c>
      <c r="Q28" s="121">
        <f t="shared" si="1"/>
        <v>200</v>
      </c>
      <c r="R28" s="122">
        <f t="shared" si="2"/>
        <v>6.666666666666667</v>
      </c>
      <c r="S28" s="121">
        <f t="shared" si="3"/>
        <v>564</v>
      </c>
      <c r="T28" s="130">
        <f t="shared" si="4"/>
        <v>18.8</v>
      </c>
    </row>
    <row r="29" spans="1:20" ht="27" customHeight="1">
      <c r="A29" s="67"/>
      <c r="B29" s="72">
        <v>24</v>
      </c>
      <c r="C29" s="86" t="s">
        <v>196</v>
      </c>
      <c r="D29" s="81" t="s">
        <v>221</v>
      </c>
      <c r="E29" s="87" t="s">
        <v>242</v>
      </c>
      <c r="F29" s="88">
        <v>46092</v>
      </c>
      <c r="G29" s="88">
        <v>46127</v>
      </c>
      <c r="H29" s="88">
        <v>46144</v>
      </c>
      <c r="I29" s="89">
        <v>46582</v>
      </c>
      <c r="J29" s="111">
        <v>46599</v>
      </c>
      <c r="K29" s="184">
        <f t="shared" si="5"/>
        <v>0.56666666666666665</v>
      </c>
      <c r="L29" s="90">
        <v>0.05</v>
      </c>
      <c r="M29" s="120"/>
      <c r="N29" s="120"/>
      <c r="O29" s="120"/>
      <c r="P29" s="127">
        <f t="shared" si="0"/>
        <v>400</v>
      </c>
      <c r="Q29" s="121">
        <f t="shared" si="1"/>
        <v>17</v>
      </c>
      <c r="R29" s="122">
        <f t="shared" si="2"/>
        <v>0.56666666666666665</v>
      </c>
      <c r="S29" s="121">
        <f t="shared" si="3"/>
        <v>472</v>
      </c>
      <c r="T29" s="130">
        <f t="shared" si="4"/>
        <v>15.733333333333333</v>
      </c>
    </row>
    <row r="30" spans="1:20" ht="27" customHeight="1">
      <c r="A30" s="67"/>
      <c r="B30" s="72">
        <v>25</v>
      </c>
      <c r="C30" s="86" t="s">
        <v>198</v>
      </c>
      <c r="D30" s="87" t="s">
        <v>199</v>
      </c>
      <c r="E30" s="87" t="s">
        <v>190</v>
      </c>
      <c r="F30" s="88">
        <v>45819</v>
      </c>
      <c r="G30" s="88">
        <v>45832</v>
      </c>
      <c r="H30" s="88">
        <v>45984</v>
      </c>
      <c r="I30" s="89">
        <v>46196</v>
      </c>
      <c r="J30" s="111">
        <v>46433</v>
      </c>
      <c r="K30" s="184">
        <f t="shared" si="5"/>
        <v>7.9</v>
      </c>
      <c r="L30" s="90">
        <v>0.48</v>
      </c>
      <c r="M30" s="120"/>
      <c r="N30" s="120"/>
      <c r="O30" s="120"/>
      <c r="P30" s="127">
        <f t="shared" si="0"/>
        <v>234</v>
      </c>
      <c r="Q30" s="121">
        <f t="shared" si="1"/>
        <v>237</v>
      </c>
      <c r="R30" s="122">
        <f t="shared" si="2"/>
        <v>7.9</v>
      </c>
      <c r="S30" s="121">
        <f t="shared" si="3"/>
        <v>601</v>
      </c>
      <c r="T30" s="130">
        <f t="shared" si="4"/>
        <v>20.033333333333335</v>
      </c>
    </row>
    <row r="31" spans="1:20" ht="27" customHeight="1">
      <c r="A31" s="67"/>
      <c r="B31" s="72">
        <v>26</v>
      </c>
      <c r="C31" s="86" t="s">
        <v>201</v>
      </c>
      <c r="D31" s="81" t="s">
        <v>220</v>
      </c>
      <c r="E31" s="87" t="s">
        <v>242</v>
      </c>
      <c r="F31" s="88">
        <v>46097</v>
      </c>
      <c r="G31" s="88">
        <v>46136</v>
      </c>
      <c r="H31" s="88">
        <v>46155</v>
      </c>
      <c r="I31" s="89">
        <v>46500</v>
      </c>
      <c r="J31" s="111">
        <v>46538</v>
      </c>
      <c r="K31" s="184">
        <f t="shared" si="5"/>
        <v>1.2666666666666666</v>
      </c>
      <c r="L31" s="90">
        <v>0.1</v>
      </c>
      <c r="M31" s="120"/>
      <c r="N31" s="120"/>
      <c r="O31" s="120"/>
      <c r="P31" s="127">
        <f t="shared" si="0"/>
        <v>339</v>
      </c>
      <c r="Q31" s="121">
        <f t="shared" si="1"/>
        <v>38</v>
      </c>
      <c r="R31" s="122">
        <f t="shared" si="2"/>
        <v>1.2666666666666666</v>
      </c>
      <c r="S31" s="121">
        <f t="shared" si="3"/>
        <v>402</v>
      </c>
      <c r="T31" s="130">
        <f t="shared" si="4"/>
        <v>13.4</v>
      </c>
    </row>
    <row r="32" spans="1:20" ht="27" customHeight="1">
      <c r="A32" s="67"/>
      <c r="B32" s="72">
        <v>27</v>
      </c>
      <c r="C32" s="86" t="s">
        <v>203</v>
      </c>
      <c r="D32" s="81" t="s">
        <v>193</v>
      </c>
      <c r="E32" s="87" t="s">
        <v>242</v>
      </c>
      <c r="F32" s="88">
        <v>46097</v>
      </c>
      <c r="G32" s="88">
        <v>46136</v>
      </c>
      <c r="H32" s="88">
        <v>46155</v>
      </c>
      <c r="I32" s="89">
        <v>46500</v>
      </c>
      <c r="J32" s="111">
        <v>46568</v>
      </c>
      <c r="K32" s="184">
        <f t="shared" si="5"/>
        <v>2.2666666666666666</v>
      </c>
      <c r="L32" s="90">
        <v>0.05</v>
      </c>
      <c r="M32" s="120"/>
      <c r="N32" s="120"/>
      <c r="O32" s="120"/>
      <c r="P32" s="127">
        <f t="shared" si="0"/>
        <v>369</v>
      </c>
      <c r="Q32" s="121">
        <f t="shared" si="1"/>
        <v>68</v>
      </c>
      <c r="R32" s="122">
        <f t="shared" si="2"/>
        <v>2.2666666666666666</v>
      </c>
      <c r="S32" s="121">
        <f t="shared" si="3"/>
        <v>432</v>
      </c>
      <c r="T32" s="130">
        <f t="shared" si="4"/>
        <v>14.4</v>
      </c>
    </row>
    <row r="33" spans="1:20" ht="27" customHeight="1">
      <c r="A33" s="67"/>
      <c r="B33" s="72">
        <v>28</v>
      </c>
      <c r="C33" s="86" t="s">
        <v>204</v>
      </c>
      <c r="D33" s="81" t="s">
        <v>205</v>
      </c>
      <c r="E33" s="87" t="s">
        <v>190</v>
      </c>
      <c r="F33" s="88">
        <v>45920</v>
      </c>
      <c r="G33" s="88">
        <v>45814</v>
      </c>
      <c r="H33" s="88">
        <v>45792</v>
      </c>
      <c r="I33" s="89">
        <v>46239</v>
      </c>
      <c r="J33" s="111">
        <v>46433</v>
      </c>
      <c r="K33" s="184">
        <f t="shared" si="5"/>
        <v>6.4666666666666668</v>
      </c>
      <c r="L33" s="90">
        <v>0.45</v>
      </c>
      <c r="M33" s="120"/>
      <c r="N33" s="120"/>
      <c r="O33" s="120"/>
      <c r="P33" s="127">
        <f t="shared" si="0"/>
        <v>234</v>
      </c>
      <c r="Q33" s="121">
        <f t="shared" si="1"/>
        <v>194</v>
      </c>
      <c r="R33" s="122">
        <f t="shared" si="2"/>
        <v>6.4666666666666668</v>
      </c>
      <c r="S33" s="121">
        <f t="shared" si="3"/>
        <v>619</v>
      </c>
      <c r="T33" s="130">
        <f t="shared" si="4"/>
        <v>20.633333333333333</v>
      </c>
    </row>
    <row r="34" spans="1:20" ht="27" customHeight="1">
      <c r="A34" s="67"/>
      <c r="B34" s="72">
        <v>29</v>
      </c>
      <c r="C34" s="80" t="s">
        <v>208</v>
      </c>
      <c r="D34" s="81" t="s">
        <v>142</v>
      </c>
      <c r="E34" s="87" t="s">
        <v>190</v>
      </c>
      <c r="F34" s="88">
        <v>45805</v>
      </c>
      <c r="G34" s="88">
        <v>46043</v>
      </c>
      <c r="H34" s="88">
        <v>46043</v>
      </c>
      <c r="I34" s="89">
        <v>46407</v>
      </c>
      <c r="J34" s="111">
        <v>46568</v>
      </c>
      <c r="K34" s="184">
        <f t="shared" si="5"/>
        <v>5.3666666666666663</v>
      </c>
      <c r="L34" s="90">
        <v>0.25</v>
      </c>
      <c r="M34" s="120"/>
      <c r="N34" s="120"/>
      <c r="O34" s="120"/>
      <c r="P34" s="127">
        <f t="shared" si="0"/>
        <v>369</v>
      </c>
      <c r="Q34" s="121">
        <f t="shared" si="1"/>
        <v>161</v>
      </c>
      <c r="R34" s="122">
        <f t="shared" si="2"/>
        <v>5.3666666666666663</v>
      </c>
      <c r="S34" s="121">
        <f t="shared" si="3"/>
        <v>525</v>
      </c>
      <c r="T34" s="130">
        <f t="shared" si="4"/>
        <v>17.5</v>
      </c>
    </row>
    <row r="35" spans="1:20" ht="27" customHeight="1" thickBot="1">
      <c r="A35" s="67"/>
      <c r="B35" s="92">
        <v>30</v>
      </c>
      <c r="C35" s="93" t="s">
        <v>210</v>
      </c>
      <c r="D35" s="94" t="s">
        <v>162</v>
      </c>
      <c r="E35" s="95" t="s">
        <v>190</v>
      </c>
      <c r="F35" s="96">
        <v>45678</v>
      </c>
      <c r="G35" s="96">
        <v>45712</v>
      </c>
      <c r="H35" s="96">
        <v>45790</v>
      </c>
      <c r="I35" s="97">
        <v>46076</v>
      </c>
      <c r="J35" s="112">
        <v>46568</v>
      </c>
      <c r="K35" s="184">
        <f t="shared" si="5"/>
        <v>16.399999999999999</v>
      </c>
      <c r="L35" s="98">
        <v>0.27</v>
      </c>
      <c r="M35" s="120"/>
      <c r="N35" s="120"/>
      <c r="O35" s="120"/>
      <c r="P35" s="131">
        <f t="shared" si="0"/>
        <v>369</v>
      </c>
      <c r="Q35" s="132">
        <f t="shared" si="1"/>
        <v>492</v>
      </c>
      <c r="R35" s="133">
        <f t="shared" si="2"/>
        <v>16.399999999999999</v>
      </c>
      <c r="S35" s="132">
        <f t="shared" si="3"/>
        <v>856</v>
      </c>
      <c r="T35" s="134">
        <f t="shared" si="4"/>
        <v>28.533333333333335</v>
      </c>
    </row>
  </sheetData>
  <mergeCells count="7">
    <mergeCell ref="P3:T3"/>
    <mergeCell ref="P4:T4"/>
    <mergeCell ref="C3:F3"/>
    <mergeCell ref="C4:F4"/>
    <mergeCell ref="G4:H4"/>
    <mergeCell ref="I4:J4"/>
    <mergeCell ref="G3:L3"/>
  </mergeCells>
  <printOptions horizontalCentered="1" verticalCentered="1"/>
  <pageMargins left="0.25" right="0.25" top="0.75" bottom="0.75" header="0.3" footer="0.3"/>
  <pageSetup paperSize="8"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35"/>
  <sheetViews>
    <sheetView zoomScale="83" zoomScaleNormal="85" workbookViewId="0">
      <selection activeCell="B2" sqref="B2:Q35"/>
    </sheetView>
  </sheetViews>
  <sheetFormatPr defaultColWidth="14.42578125" defaultRowHeight="39" customHeight="1"/>
  <cols>
    <col min="1" max="1" width="9.140625" style="66" customWidth="1"/>
    <col min="2" max="2" width="8.140625" style="66" customWidth="1"/>
    <col min="3" max="3" width="13.42578125" style="66" customWidth="1"/>
    <col min="4" max="4" width="16" style="66" customWidth="1"/>
    <col min="5" max="6" width="16" style="66" hidden="1" customWidth="1"/>
    <col min="7" max="7" width="16" style="66" customWidth="1"/>
    <col min="8" max="9" width="16" style="66" hidden="1" customWidth="1"/>
    <col min="10" max="10" width="16" style="113" customWidth="1"/>
    <col min="11" max="11" width="9.28515625" style="66" bestFit="1" customWidth="1"/>
    <col min="12" max="12" width="3.140625" style="66" customWidth="1"/>
    <col min="13" max="13" width="0" style="100" hidden="1" customWidth="1"/>
    <col min="14" max="14" width="13.28515625" style="100" hidden="1" customWidth="1"/>
    <col min="15" max="15" width="13.28515625" style="114" customWidth="1"/>
    <col min="16" max="16" width="13.28515625" style="100" customWidth="1"/>
    <col min="17" max="16384" width="14.42578125" style="66"/>
  </cols>
  <sheetData>
    <row r="2" spans="1:17" ht="39" customHeight="1" thickBot="1">
      <c r="A2" s="67"/>
      <c r="B2" s="68"/>
      <c r="C2" s="69"/>
      <c r="D2" s="70"/>
      <c r="E2" s="70"/>
      <c r="F2" s="70"/>
      <c r="G2" s="70"/>
      <c r="H2" s="70"/>
      <c r="I2" s="70"/>
      <c r="J2" s="109"/>
      <c r="K2" s="68"/>
      <c r="L2" s="68"/>
    </row>
    <row r="3" spans="1:17" ht="39" customHeight="1">
      <c r="A3" s="67"/>
      <c r="B3" s="71"/>
      <c r="C3" s="380" t="s">
        <v>241</v>
      </c>
      <c r="D3" s="380"/>
      <c r="E3" s="380"/>
      <c r="F3" s="380"/>
      <c r="G3" s="384"/>
      <c r="H3" s="385"/>
      <c r="I3" s="385"/>
      <c r="J3" s="385"/>
      <c r="K3" s="386"/>
      <c r="L3" s="68"/>
      <c r="M3" s="374"/>
      <c r="N3" s="375"/>
      <c r="O3" s="375"/>
      <c r="P3" s="375"/>
      <c r="Q3" s="376"/>
    </row>
    <row r="4" spans="1:17" ht="39" customHeight="1">
      <c r="A4" s="67"/>
      <c r="B4" s="72"/>
      <c r="C4" s="381" t="s">
        <v>227</v>
      </c>
      <c r="D4" s="381"/>
      <c r="E4" s="381"/>
      <c r="F4" s="381"/>
      <c r="G4" s="382" t="s">
        <v>235</v>
      </c>
      <c r="H4" s="383"/>
      <c r="I4" s="382" t="s">
        <v>238</v>
      </c>
      <c r="J4" s="383"/>
      <c r="K4" s="73"/>
      <c r="L4" s="68"/>
      <c r="M4" s="377"/>
      <c r="N4" s="378"/>
      <c r="O4" s="378"/>
      <c r="P4" s="378"/>
      <c r="Q4" s="379"/>
    </row>
    <row r="5" spans="1:17" s="79" customFormat="1" ht="66">
      <c r="A5" s="74"/>
      <c r="B5" s="75" t="s">
        <v>1</v>
      </c>
      <c r="C5" s="76" t="s">
        <v>2</v>
      </c>
      <c r="D5" s="76" t="s">
        <v>3</v>
      </c>
      <c r="E5" s="76" t="s">
        <v>4</v>
      </c>
      <c r="F5" s="76" t="s">
        <v>5</v>
      </c>
      <c r="G5" s="76" t="s">
        <v>236</v>
      </c>
      <c r="H5" s="77" t="s">
        <v>237</v>
      </c>
      <c r="I5" s="76" t="s">
        <v>239</v>
      </c>
      <c r="J5" s="110" t="s">
        <v>240</v>
      </c>
      <c r="K5" s="78" t="s">
        <v>7</v>
      </c>
      <c r="L5" s="115"/>
      <c r="M5" s="128">
        <v>46199</v>
      </c>
      <c r="N5" s="123" t="s">
        <v>244</v>
      </c>
      <c r="O5" s="124" t="s">
        <v>245</v>
      </c>
      <c r="P5" s="123" t="s">
        <v>246</v>
      </c>
      <c r="Q5" s="129" t="s">
        <v>247</v>
      </c>
    </row>
    <row r="6" spans="1:17" ht="27" customHeight="1">
      <c r="A6" s="67"/>
      <c r="B6" s="72">
        <v>1</v>
      </c>
      <c r="C6" s="80" t="s">
        <v>141</v>
      </c>
      <c r="D6" s="81" t="s">
        <v>142</v>
      </c>
      <c r="E6" s="81" t="s">
        <v>143</v>
      </c>
      <c r="F6" s="82">
        <v>45735</v>
      </c>
      <c r="G6" s="82">
        <v>45753</v>
      </c>
      <c r="H6" s="82">
        <v>45797</v>
      </c>
      <c r="I6" s="83">
        <v>46117</v>
      </c>
      <c r="J6" s="111">
        <v>46356</v>
      </c>
      <c r="K6" s="84">
        <v>0.6</v>
      </c>
      <c r="L6" s="116"/>
      <c r="M6" s="127">
        <f>J6-$M$5</f>
        <v>157</v>
      </c>
      <c r="N6" s="121">
        <f>J6-I6</f>
        <v>239</v>
      </c>
      <c r="O6" s="122">
        <f>N6/30</f>
        <v>7.9666666666666668</v>
      </c>
      <c r="P6" s="121">
        <f>J6-G6</f>
        <v>603</v>
      </c>
      <c r="Q6" s="130">
        <f>P6/30</f>
        <v>20.100000000000001</v>
      </c>
    </row>
    <row r="7" spans="1:17" ht="27" customHeight="1">
      <c r="A7" s="67"/>
      <c r="B7" s="72">
        <v>2</v>
      </c>
      <c r="C7" s="80" t="s">
        <v>145</v>
      </c>
      <c r="D7" s="81" t="s">
        <v>146</v>
      </c>
      <c r="E7" s="81" t="s">
        <v>143</v>
      </c>
      <c r="F7" s="82">
        <v>45679</v>
      </c>
      <c r="G7" s="82">
        <v>45712</v>
      </c>
      <c r="H7" s="82">
        <v>45762</v>
      </c>
      <c r="I7" s="83">
        <v>46076</v>
      </c>
      <c r="J7" s="111">
        <v>46265</v>
      </c>
      <c r="K7" s="84">
        <v>0.92</v>
      </c>
      <c r="L7" s="116"/>
      <c r="M7" s="127">
        <f t="shared" ref="M7:M35" si="0">J7-$M$5</f>
        <v>66</v>
      </c>
      <c r="N7" s="121">
        <f t="shared" ref="N7:N35" si="1">J7-I7</f>
        <v>189</v>
      </c>
      <c r="O7" s="122">
        <f t="shared" ref="O7:O35" si="2">N7/30</f>
        <v>6.3</v>
      </c>
      <c r="P7" s="121">
        <f t="shared" ref="P7:P35" si="3">J7-G7</f>
        <v>553</v>
      </c>
      <c r="Q7" s="130">
        <f t="shared" ref="Q7:Q35" si="4">P7/30</f>
        <v>18.433333333333334</v>
      </c>
    </row>
    <row r="8" spans="1:17" ht="27" customHeight="1">
      <c r="A8" s="67"/>
      <c r="B8" s="72">
        <v>3</v>
      </c>
      <c r="C8" s="80" t="s">
        <v>148</v>
      </c>
      <c r="D8" s="81" t="s">
        <v>149</v>
      </c>
      <c r="E8" s="81" t="s">
        <v>143</v>
      </c>
      <c r="F8" s="82">
        <v>45847</v>
      </c>
      <c r="G8" s="82">
        <v>45893</v>
      </c>
      <c r="H8" s="82">
        <v>45979</v>
      </c>
      <c r="I8" s="83">
        <v>46257</v>
      </c>
      <c r="J8" s="111">
        <v>46387</v>
      </c>
      <c r="K8" s="84">
        <v>0.4</v>
      </c>
      <c r="L8" s="116"/>
      <c r="M8" s="127">
        <f t="shared" si="0"/>
        <v>188</v>
      </c>
      <c r="N8" s="121">
        <f t="shared" si="1"/>
        <v>130</v>
      </c>
      <c r="O8" s="122">
        <f t="shared" si="2"/>
        <v>4.333333333333333</v>
      </c>
      <c r="P8" s="121">
        <f t="shared" si="3"/>
        <v>494</v>
      </c>
      <c r="Q8" s="130">
        <f t="shared" si="4"/>
        <v>16.466666666666665</v>
      </c>
    </row>
    <row r="9" spans="1:17" ht="27" customHeight="1">
      <c r="A9" s="67"/>
      <c r="B9" s="72">
        <v>4</v>
      </c>
      <c r="C9" s="80" t="s">
        <v>151</v>
      </c>
      <c r="D9" s="81" t="s">
        <v>146</v>
      </c>
      <c r="E9" s="81" t="s">
        <v>143</v>
      </c>
      <c r="F9" s="82">
        <v>45677</v>
      </c>
      <c r="G9" s="82">
        <v>45703</v>
      </c>
      <c r="H9" s="82">
        <v>45765</v>
      </c>
      <c r="I9" s="83">
        <v>46067</v>
      </c>
      <c r="J9" s="111">
        <v>46234</v>
      </c>
      <c r="K9" s="84">
        <v>0.95</v>
      </c>
      <c r="L9" s="116"/>
      <c r="M9" s="127">
        <f t="shared" si="0"/>
        <v>35</v>
      </c>
      <c r="N9" s="121">
        <f t="shared" si="1"/>
        <v>167</v>
      </c>
      <c r="O9" s="122">
        <f t="shared" si="2"/>
        <v>5.5666666666666664</v>
      </c>
      <c r="P9" s="121">
        <f t="shared" si="3"/>
        <v>531</v>
      </c>
      <c r="Q9" s="130">
        <f t="shared" si="4"/>
        <v>17.7</v>
      </c>
    </row>
    <row r="10" spans="1:17" ht="27" customHeight="1">
      <c r="A10" s="67"/>
      <c r="B10" s="72">
        <v>5</v>
      </c>
      <c r="C10" s="80" t="s">
        <v>153</v>
      </c>
      <c r="D10" s="81" t="s">
        <v>146</v>
      </c>
      <c r="E10" s="81" t="s">
        <v>154</v>
      </c>
      <c r="F10" s="82">
        <v>46023</v>
      </c>
      <c r="G10" s="82">
        <v>46073</v>
      </c>
      <c r="H10" s="82">
        <v>46073</v>
      </c>
      <c r="I10" s="83">
        <v>46437</v>
      </c>
      <c r="J10" s="111">
        <v>46568</v>
      </c>
      <c r="K10" s="84">
        <v>0.15</v>
      </c>
      <c r="L10" s="116"/>
      <c r="M10" s="127" t="s">
        <v>243</v>
      </c>
      <c r="N10" s="121">
        <f t="shared" si="1"/>
        <v>131</v>
      </c>
      <c r="O10" s="122">
        <f t="shared" si="2"/>
        <v>4.3666666666666663</v>
      </c>
      <c r="P10" s="121">
        <f t="shared" si="3"/>
        <v>495</v>
      </c>
      <c r="Q10" s="130">
        <f t="shared" si="4"/>
        <v>16.5</v>
      </c>
    </row>
    <row r="11" spans="1:17" ht="27" customHeight="1">
      <c r="A11" s="67"/>
      <c r="B11" s="72">
        <v>6</v>
      </c>
      <c r="C11" s="80" t="s">
        <v>156</v>
      </c>
      <c r="D11" s="81" t="s">
        <v>146</v>
      </c>
      <c r="E11" s="81" t="s">
        <v>157</v>
      </c>
      <c r="F11" s="82">
        <v>45829</v>
      </c>
      <c r="G11" s="82">
        <v>45862</v>
      </c>
      <c r="H11" s="82">
        <v>45973</v>
      </c>
      <c r="I11" s="83">
        <v>46226</v>
      </c>
      <c r="J11" s="111">
        <v>46356</v>
      </c>
      <c r="K11" s="84">
        <v>0.45</v>
      </c>
      <c r="L11" s="116"/>
      <c r="M11" s="127">
        <f t="shared" si="0"/>
        <v>157</v>
      </c>
      <c r="N11" s="121">
        <f t="shared" si="1"/>
        <v>130</v>
      </c>
      <c r="O11" s="122">
        <f t="shared" si="2"/>
        <v>4.333333333333333</v>
      </c>
      <c r="P11" s="121">
        <f t="shared" si="3"/>
        <v>494</v>
      </c>
      <c r="Q11" s="130">
        <f t="shared" si="4"/>
        <v>16.466666666666665</v>
      </c>
    </row>
    <row r="12" spans="1:17" ht="27" customHeight="1">
      <c r="A12" s="67"/>
      <c r="B12" s="72">
        <v>7</v>
      </c>
      <c r="C12" s="80" t="s">
        <v>159</v>
      </c>
      <c r="D12" s="81" t="s">
        <v>146</v>
      </c>
      <c r="E12" s="81" t="s">
        <v>160</v>
      </c>
      <c r="F12" s="82">
        <v>46074</v>
      </c>
      <c r="G12" s="82">
        <v>46118</v>
      </c>
      <c r="H12" s="82">
        <v>46163</v>
      </c>
      <c r="I12" s="83">
        <v>46482</v>
      </c>
      <c r="J12" s="111">
        <v>46599</v>
      </c>
      <c r="K12" s="85">
        <v>0.05</v>
      </c>
      <c r="L12" s="117"/>
      <c r="M12" s="127" t="s">
        <v>243</v>
      </c>
      <c r="N12" s="121">
        <f t="shared" si="1"/>
        <v>117</v>
      </c>
      <c r="O12" s="122">
        <f t="shared" si="2"/>
        <v>3.9</v>
      </c>
      <c r="P12" s="121">
        <f t="shared" si="3"/>
        <v>481</v>
      </c>
      <c r="Q12" s="130">
        <f t="shared" si="4"/>
        <v>16.033333333333335</v>
      </c>
    </row>
    <row r="13" spans="1:17" ht="27" customHeight="1">
      <c r="A13" s="67"/>
      <c r="B13" s="72">
        <v>8</v>
      </c>
      <c r="C13" s="80" t="s">
        <v>161</v>
      </c>
      <c r="D13" s="81" t="s">
        <v>219</v>
      </c>
      <c r="E13" s="81" t="s">
        <v>160</v>
      </c>
      <c r="F13" s="82">
        <v>46112</v>
      </c>
      <c r="G13" s="82">
        <v>46148</v>
      </c>
      <c r="H13" s="82">
        <v>46163</v>
      </c>
      <c r="I13" s="83">
        <v>46604</v>
      </c>
      <c r="J13" s="111">
        <v>46721</v>
      </c>
      <c r="K13" s="85">
        <v>0.05</v>
      </c>
      <c r="L13" s="117"/>
      <c r="M13" s="127" t="s">
        <v>243</v>
      </c>
      <c r="N13" s="121">
        <f t="shared" si="1"/>
        <v>117</v>
      </c>
      <c r="O13" s="122">
        <f t="shared" si="2"/>
        <v>3.9</v>
      </c>
      <c r="P13" s="121">
        <f t="shared" si="3"/>
        <v>573</v>
      </c>
      <c r="Q13" s="130">
        <f t="shared" si="4"/>
        <v>19.100000000000001</v>
      </c>
    </row>
    <row r="14" spans="1:17" ht="27" customHeight="1">
      <c r="A14" s="67"/>
      <c r="B14" s="72">
        <v>9</v>
      </c>
      <c r="C14" s="80" t="s">
        <v>163</v>
      </c>
      <c r="D14" s="81" t="s">
        <v>149</v>
      </c>
      <c r="E14" s="81" t="s">
        <v>143</v>
      </c>
      <c r="F14" s="82">
        <v>45867</v>
      </c>
      <c r="G14" s="82">
        <v>45893</v>
      </c>
      <c r="H14" s="82">
        <v>45978</v>
      </c>
      <c r="I14" s="83">
        <v>46257</v>
      </c>
      <c r="J14" s="111">
        <v>46446</v>
      </c>
      <c r="K14" s="85">
        <v>0.38</v>
      </c>
      <c r="L14" s="117"/>
      <c r="M14" s="127">
        <f t="shared" si="0"/>
        <v>247</v>
      </c>
      <c r="N14" s="121">
        <f t="shared" si="1"/>
        <v>189</v>
      </c>
      <c r="O14" s="122">
        <f t="shared" si="2"/>
        <v>6.3</v>
      </c>
      <c r="P14" s="121">
        <f t="shared" si="3"/>
        <v>553</v>
      </c>
      <c r="Q14" s="130">
        <f t="shared" si="4"/>
        <v>18.433333333333334</v>
      </c>
    </row>
    <row r="15" spans="1:17" ht="27" customHeight="1">
      <c r="A15" s="67"/>
      <c r="B15" s="72">
        <v>10</v>
      </c>
      <c r="C15" s="80" t="s">
        <v>165</v>
      </c>
      <c r="D15" s="81" t="s">
        <v>162</v>
      </c>
      <c r="E15" s="81" t="s">
        <v>143</v>
      </c>
      <c r="F15" s="82">
        <v>45836</v>
      </c>
      <c r="G15" s="82">
        <v>45884</v>
      </c>
      <c r="H15" s="82">
        <v>45979</v>
      </c>
      <c r="I15" s="83">
        <v>46248</v>
      </c>
      <c r="J15" s="111">
        <v>46446</v>
      </c>
      <c r="K15" s="84">
        <v>0.3</v>
      </c>
      <c r="L15" s="116"/>
      <c r="M15" s="127">
        <f t="shared" si="0"/>
        <v>247</v>
      </c>
      <c r="N15" s="121">
        <f t="shared" si="1"/>
        <v>198</v>
      </c>
      <c r="O15" s="122">
        <f t="shared" si="2"/>
        <v>6.6</v>
      </c>
      <c r="P15" s="121">
        <f t="shared" si="3"/>
        <v>562</v>
      </c>
      <c r="Q15" s="130">
        <f t="shared" si="4"/>
        <v>18.733333333333334</v>
      </c>
    </row>
    <row r="16" spans="1:17" ht="27" customHeight="1">
      <c r="A16" s="67"/>
      <c r="B16" s="72">
        <v>11</v>
      </c>
      <c r="C16" s="80" t="s">
        <v>166</v>
      </c>
      <c r="D16" s="81" t="s">
        <v>146</v>
      </c>
      <c r="E16" s="81" t="s">
        <v>143</v>
      </c>
      <c r="F16" s="82">
        <v>45769</v>
      </c>
      <c r="G16" s="82">
        <v>45801</v>
      </c>
      <c r="H16" s="82">
        <v>45797</v>
      </c>
      <c r="I16" s="83">
        <v>46165</v>
      </c>
      <c r="J16" s="111">
        <v>46325</v>
      </c>
      <c r="K16" s="84">
        <v>0.6</v>
      </c>
      <c r="L16" s="116"/>
      <c r="M16" s="127">
        <f t="shared" si="0"/>
        <v>126</v>
      </c>
      <c r="N16" s="121">
        <f t="shared" si="1"/>
        <v>160</v>
      </c>
      <c r="O16" s="122">
        <f t="shared" si="2"/>
        <v>5.333333333333333</v>
      </c>
      <c r="P16" s="121">
        <f t="shared" si="3"/>
        <v>524</v>
      </c>
      <c r="Q16" s="130">
        <f t="shared" si="4"/>
        <v>17.466666666666665</v>
      </c>
    </row>
    <row r="17" spans="1:17" ht="27" customHeight="1">
      <c r="A17" s="67"/>
      <c r="B17" s="72">
        <v>12</v>
      </c>
      <c r="C17" s="80" t="s">
        <v>168</v>
      </c>
      <c r="D17" s="81" t="s">
        <v>146</v>
      </c>
      <c r="E17" s="81" t="s">
        <v>154</v>
      </c>
      <c r="F17" s="82">
        <v>45869</v>
      </c>
      <c r="G17" s="82">
        <v>45906</v>
      </c>
      <c r="H17" s="82">
        <v>46007</v>
      </c>
      <c r="I17" s="83">
        <v>46270</v>
      </c>
      <c r="J17" s="111">
        <v>46507</v>
      </c>
      <c r="K17" s="84">
        <v>0.18</v>
      </c>
      <c r="L17" s="116"/>
      <c r="M17" s="127">
        <f t="shared" si="0"/>
        <v>308</v>
      </c>
      <c r="N17" s="121">
        <f t="shared" si="1"/>
        <v>237</v>
      </c>
      <c r="O17" s="122">
        <f t="shared" si="2"/>
        <v>7.9</v>
      </c>
      <c r="P17" s="121">
        <f t="shared" si="3"/>
        <v>601</v>
      </c>
      <c r="Q17" s="130">
        <f t="shared" si="4"/>
        <v>20.033333333333335</v>
      </c>
    </row>
    <row r="18" spans="1:17" ht="27" customHeight="1">
      <c r="A18" s="67"/>
      <c r="B18" s="72">
        <v>13</v>
      </c>
      <c r="C18" s="80" t="s">
        <v>170</v>
      </c>
      <c r="D18" s="81" t="s">
        <v>171</v>
      </c>
      <c r="E18" s="81" t="s">
        <v>143</v>
      </c>
      <c r="F18" s="82">
        <v>45800</v>
      </c>
      <c r="G18" s="82">
        <v>45832</v>
      </c>
      <c r="H18" s="82">
        <v>45972</v>
      </c>
      <c r="I18" s="83">
        <v>46196</v>
      </c>
      <c r="J18" s="111">
        <v>46446</v>
      </c>
      <c r="K18" s="84">
        <v>0.38</v>
      </c>
      <c r="L18" s="116"/>
      <c r="M18" s="127">
        <f t="shared" si="0"/>
        <v>247</v>
      </c>
      <c r="N18" s="121">
        <f t="shared" si="1"/>
        <v>250</v>
      </c>
      <c r="O18" s="122">
        <f t="shared" si="2"/>
        <v>8.3333333333333339</v>
      </c>
      <c r="P18" s="121">
        <f t="shared" si="3"/>
        <v>614</v>
      </c>
      <c r="Q18" s="130">
        <f t="shared" si="4"/>
        <v>20.466666666666665</v>
      </c>
    </row>
    <row r="19" spans="1:17" s="101" customFormat="1" ht="27" customHeight="1">
      <c r="B19" s="102">
        <v>14</v>
      </c>
      <c r="C19" s="103" t="s">
        <v>173</v>
      </c>
      <c r="D19" s="104" t="s">
        <v>146</v>
      </c>
      <c r="E19" s="105" t="s">
        <v>143</v>
      </c>
      <c r="F19" s="106">
        <v>45694</v>
      </c>
      <c r="G19" s="106">
        <v>45731</v>
      </c>
      <c r="H19" s="106">
        <v>45764</v>
      </c>
      <c r="I19" s="107">
        <v>46095</v>
      </c>
      <c r="J19" s="99">
        <v>46245</v>
      </c>
      <c r="K19" s="108">
        <v>0.8</v>
      </c>
      <c r="L19" s="118"/>
      <c r="M19" s="102">
        <f t="shared" si="0"/>
        <v>46</v>
      </c>
      <c r="N19" s="125">
        <f t="shared" si="1"/>
        <v>150</v>
      </c>
      <c r="O19" s="126">
        <f t="shared" si="2"/>
        <v>5</v>
      </c>
      <c r="P19" s="121">
        <f t="shared" si="3"/>
        <v>514</v>
      </c>
      <c r="Q19" s="130">
        <f t="shared" si="4"/>
        <v>17.133333333333333</v>
      </c>
    </row>
    <row r="20" spans="1:17" ht="27" customHeight="1">
      <c r="A20" s="67"/>
      <c r="B20" s="72">
        <v>15</v>
      </c>
      <c r="C20" s="80" t="s">
        <v>176</v>
      </c>
      <c r="D20" s="81" t="s">
        <v>146</v>
      </c>
      <c r="E20" s="81" t="s">
        <v>154</v>
      </c>
      <c r="F20" s="82">
        <v>45957</v>
      </c>
      <c r="G20" s="82">
        <v>46077</v>
      </c>
      <c r="H20" s="82">
        <v>46073</v>
      </c>
      <c r="I20" s="83">
        <v>46441</v>
      </c>
      <c r="J20" s="111">
        <v>46568</v>
      </c>
      <c r="K20" s="85">
        <v>0.15</v>
      </c>
      <c r="L20" s="117"/>
      <c r="M20" s="127" t="s">
        <v>243</v>
      </c>
      <c r="N20" s="121">
        <f t="shared" si="1"/>
        <v>127</v>
      </c>
      <c r="O20" s="122">
        <f t="shared" si="2"/>
        <v>4.2333333333333334</v>
      </c>
      <c r="P20" s="121">
        <f t="shared" si="3"/>
        <v>491</v>
      </c>
      <c r="Q20" s="130">
        <f t="shared" si="4"/>
        <v>16.366666666666667</v>
      </c>
    </row>
    <row r="21" spans="1:17" ht="27" customHeight="1">
      <c r="A21" s="67"/>
      <c r="B21" s="72">
        <v>16</v>
      </c>
      <c r="C21" s="86" t="s">
        <v>178</v>
      </c>
      <c r="D21" s="81" t="s">
        <v>179</v>
      </c>
      <c r="E21" s="87" t="s">
        <v>242</v>
      </c>
      <c r="F21" s="88">
        <v>46051</v>
      </c>
      <c r="G21" s="88">
        <v>46068</v>
      </c>
      <c r="H21" s="88">
        <v>46073</v>
      </c>
      <c r="I21" s="89">
        <v>46432</v>
      </c>
      <c r="J21" s="111">
        <v>46630</v>
      </c>
      <c r="K21" s="91">
        <v>0.18</v>
      </c>
      <c r="L21" s="119"/>
      <c r="M21" s="127" t="s">
        <v>243</v>
      </c>
      <c r="N21" s="121">
        <f t="shared" si="1"/>
        <v>198</v>
      </c>
      <c r="O21" s="122">
        <f t="shared" si="2"/>
        <v>6.6</v>
      </c>
      <c r="P21" s="121">
        <f t="shared" si="3"/>
        <v>562</v>
      </c>
      <c r="Q21" s="130">
        <f t="shared" si="4"/>
        <v>18.733333333333334</v>
      </c>
    </row>
    <row r="22" spans="1:17" ht="27" customHeight="1">
      <c r="A22" s="67"/>
      <c r="B22" s="72">
        <v>17</v>
      </c>
      <c r="C22" s="86" t="s">
        <v>182</v>
      </c>
      <c r="D22" s="81" t="s">
        <v>220</v>
      </c>
      <c r="E22" s="87" t="s">
        <v>242</v>
      </c>
      <c r="F22" s="88">
        <v>46164</v>
      </c>
      <c r="G22" s="88">
        <v>46188</v>
      </c>
      <c r="H22" s="88">
        <v>46177</v>
      </c>
      <c r="I22" s="89">
        <v>46507</v>
      </c>
      <c r="J22" s="111">
        <v>46644</v>
      </c>
      <c r="K22" s="91">
        <v>0.02</v>
      </c>
      <c r="L22" s="119"/>
      <c r="M22" s="127" t="s">
        <v>243</v>
      </c>
      <c r="N22" s="121">
        <f t="shared" si="1"/>
        <v>137</v>
      </c>
      <c r="O22" s="122">
        <f t="shared" si="2"/>
        <v>4.5666666666666664</v>
      </c>
      <c r="P22" s="121">
        <f t="shared" si="3"/>
        <v>456</v>
      </c>
      <c r="Q22" s="130">
        <f t="shared" si="4"/>
        <v>15.2</v>
      </c>
    </row>
    <row r="23" spans="1:17" ht="27" customHeight="1">
      <c r="A23" s="67"/>
      <c r="B23" s="72">
        <v>18</v>
      </c>
      <c r="C23" s="86" t="s">
        <v>183</v>
      </c>
      <c r="D23" s="81" t="s">
        <v>171</v>
      </c>
      <c r="E23" s="87" t="s">
        <v>242</v>
      </c>
      <c r="F23" s="88">
        <v>46174</v>
      </c>
      <c r="G23" s="88">
        <v>46188</v>
      </c>
      <c r="H23" s="88">
        <v>46177</v>
      </c>
      <c r="I23" s="89">
        <v>46568</v>
      </c>
      <c r="J23" s="111">
        <v>46736</v>
      </c>
      <c r="K23" s="91">
        <v>0.05</v>
      </c>
      <c r="L23" s="119"/>
      <c r="M23" s="127" t="s">
        <v>243</v>
      </c>
      <c r="N23" s="121">
        <f t="shared" si="1"/>
        <v>168</v>
      </c>
      <c r="O23" s="122">
        <f t="shared" si="2"/>
        <v>5.6</v>
      </c>
      <c r="P23" s="121">
        <f t="shared" si="3"/>
        <v>548</v>
      </c>
      <c r="Q23" s="130">
        <f t="shared" si="4"/>
        <v>18.266666666666666</v>
      </c>
    </row>
    <row r="24" spans="1:17" ht="27" customHeight="1">
      <c r="A24" s="67"/>
      <c r="B24" s="72">
        <v>19</v>
      </c>
      <c r="C24" s="86" t="s">
        <v>184</v>
      </c>
      <c r="D24" s="81" t="s">
        <v>146</v>
      </c>
      <c r="E24" s="87" t="s">
        <v>185</v>
      </c>
      <c r="F24" s="88">
        <v>46078</v>
      </c>
      <c r="G24" s="88">
        <v>46118</v>
      </c>
      <c r="H24" s="88">
        <v>46159</v>
      </c>
      <c r="I24" s="89">
        <v>46482</v>
      </c>
      <c r="J24" s="111">
        <v>46599</v>
      </c>
      <c r="K24" s="91">
        <v>0.05</v>
      </c>
      <c r="L24" s="119"/>
      <c r="M24" s="127" t="s">
        <v>243</v>
      </c>
      <c r="N24" s="121">
        <f t="shared" si="1"/>
        <v>117</v>
      </c>
      <c r="O24" s="122">
        <f t="shared" si="2"/>
        <v>3.9</v>
      </c>
      <c r="P24" s="121">
        <f t="shared" si="3"/>
        <v>481</v>
      </c>
      <c r="Q24" s="130">
        <f t="shared" si="4"/>
        <v>16.033333333333335</v>
      </c>
    </row>
    <row r="25" spans="1:17" ht="27" customHeight="1">
      <c r="A25" s="67"/>
      <c r="B25" s="72">
        <v>20</v>
      </c>
      <c r="C25" s="86" t="s">
        <v>187</v>
      </c>
      <c r="D25" s="81" t="s">
        <v>171</v>
      </c>
      <c r="E25" s="87" t="s">
        <v>185</v>
      </c>
      <c r="F25" s="88">
        <v>46063</v>
      </c>
      <c r="G25" s="88">
        <v>46148</v>
      </c>
      <c r="H25" s="88">
        <v>46159</v>
      </c>
      <c r="I25" s="89">
        <v>46604</v>
      </c>
      <c r="J25" s="111">
        <v>46721</v>
      </c>
      <c r="K25" s="91">
        <v>0.05</v>
      </c>
      <c r="L25" s="119"/>
      <c r="M25" s="127" t="s">
        <v>243</v>
      </c>
      <c r="N25" s="121">
        <f t="shared" si="1"/>
        <v>117</v>
      </c>
      <c r="O25" s="122">
        <f t="shared" si="2"/>
        <v>3.9</v>
      </c>
      <c r="P25" s="121">
        <f t="shared" si="3"/>
        <v>573</v>
      </c>
      <c r="Q25" s="130">
        <f t="shared" si="4"/>
        <v>19.100000000000001</v>
      </c>
    </row>
    <row r="26" spans="1:17" ht="27" customHeight="1">
      <c r="A26" s="67"/>
      <c r="B26" s="72">
        <v>21</v>
      </c>
      <c r="C26" s="86" t="s">
        <v>188</v>
      </c>
      <c r="D26" s="81" t="s">
        <v>189</v>
      </c>
      <c r="E26" s="87" t="s">
        <v>190</v>
      </c>
      <c r="F26" s="88">
        <v>45777</v>
      </c>
      <c r="G26" s="88">
        <v>45814</v>
      </c>
      <c r="H26" s="88">
        <v>45814</v>
      </c>
      <c r="I26" s="89">
        <v>46178</v>
      </c>
      <c r="J26" s="111">
        <v>46310</v>
      </c>
      <c r="K26" s="91">
        <v>0.85</v>
      </c>
      <c r="L26" s="119"/>
      <c r="M26" s="127" t="s">
        <v>243</v>
      </c>
      <c r="N26" s="121">
        <f t="shared" si="1"/>
        <v>132</v>
      </c>
      <c r="O26" s="122">
        <f t="shared" si="2"/>
        <v>4.4000000000000004</v>
      </c>
      <c r="P26" s="121">
        <f t="shared" si="3"/>
        <v>496</v>
      </c>
      <c r="Q26" s="130">
        <f t="shared" si="4"/>
        <v>16.533333333333335</v>
      </c>
    </row>
    <row r="27" spans="1:17" ht="27" customHeight="1">
      <c r="A27" s="67"/>
      <c r="B27" s="72">
        <v>22</v>
      </c>
      <c r="C27" s="86" t="s">
        <v>192</v>
      </c>
      <c r="D27" s="81" t="s">
        <v>193</v>
      </c>
      <c r="E27" s="87" t="s">
        <v>190</v>
      </c>
      <c r="F27" s="88">
        <v>45681</v>
      </c>
      <c r="G27" s="88">
        <v>45712</v>
      </c>
      <c r="H27" s="88">
        <v>45792</v>
      </c>
      <c r="I27" s="89">
        <v>46076</v>
      </c>
      <c r="J27" s="111">
        <v>46295</v>
      </c>
      <c r="K27" s="90">
        <v>0.9</v>
      </c>
      <c r="L27" s="120"/>
      <c r="M27" s="127">
        <f t="shared" si="0"/>
        <v>96</v>
      </c>
      <c r="N27" s="121">
        <f t="shared" si="1"/>
        <v>219</v>
      </c>
      <c r="O27" s="122">
        <f t="shared" si="2"/>
        <v>7.3</v>
      </c>
      <c r="P27" s="121">
        <f t="shared" si="3"/>
        <v>583</v>
      </c>
      <c r="Q27" s="130">
        <f t="shared" si="4"/>
        <v>19.433333333333334</v>
      </c>
    </row>
    <row r="28" spans="1:17" ht="27" customHeight="1">
      <c r="A28" s="67"/>
      <c r="B28" s="72">
        <v>23</v>
      </c>
      <c r="C28" s="86" t="s">
        <v>195</v>
      </c>
      <c r="D28" s="81" t="s">
        <v>189</v>
      </c>
      <c r="E28" s="87" t="s">
        <v>190</v>
      </c>
      <c r="F28" s="88">
        <v>45799</v>
      </c>
      <c r="G28" s="88">
        <v>45823</v>
      </c>
      <c r="H28" s="88">
        <v>45817</v>
      </c>
      <c r="I28" s="89">
        <v>46187</v>
      </c>
      <c r="J28" s="111">
        <v>46387</v>
      </c>
      <c r="K28" s="90">
        <v>0.75</v>
      </c>
      <c r="L28" s="120"/>
      <c r="M28" s="127">
        <f t="shared" si="0"/>
        <v>188</v>
      </c>
      <c r="N28" s="121">
        <f t="shared" si="1"/>
        <v>200</v>
      </c>
      <c r="O28" s="122">
        <f t="shared" si="2"/>
        <v>6.666666666666667</v>
      </c>
      <c r="P28" s="121">
        <f t="shared" si="3"/>
        <v>564</v>
      </c>
      <c r="Q28" s="130">
        <f t="shared" si="4"/>
        <v>18.8</v>
      </c>
    </row>
    <row r="29" spans="1:17" ht="27" customHeight="1">
      <c r="A29" s="67"/>
      <c r="B29" s="72">
        <v>24</v>
      </c>
      <c r="C29" s="86" t="s">
        <v>196</v>
      </c>
      <c r="D29" s="81" t="s">
        <v>221</v>
      </c>
      <c r="E29" s="87" t="s">
        <v>242</v>
      </c>
      <c r="F29" s="88">
        <v>46092</v>
      </c>
      <c r="G29" s="88">
        <v>46127</v>
      </c>
      <c r="H29" s="88">
        <v>46144</v>
      </c>
      <c r="I29" s="89">
        <v>46582</v>
      </c>
      <c r="J29" s="111">
        <v>46599</v>
      </c>
      <c r="K29" s="90">
        <v>0.05</v>
      </c>
      <c r="L29" s="120"/>
      <c r="M29" s="127">
        <f t="shared" si="0"/>
        <v>400</v>
      </c>
      <c r="N29" s="121">
        <f t="shared" si="1"/>
        <v>17</v>
      </c>
      <c r="O29" s="122">
        <f t="shared" si="2"/>
        <v>0.56666666666666665</v>
      </c>
      <c r="P29" s="121">
        <f t="shared" si="3"/>
        <v>472</v>
      </c>
      <c r="Q29" s="130">
        <f t="shared" si="4"/>
        <v>15.733333333333333</v>
      </c>
    </row>
    <row r="30" spans="1:17" ht="27" customHeight="1">
      <c r="A30" s="67"/>
      <c r="B30" s="72">
        <v>25</v>
      </c>
      <c r="C30" s="86" t="s">
        <v>198</v>
      </c>
      <c r="D30" s="87" t="s">
        <v>199</v>
      </c>
      <c r="E30" s="87" t="s">
        <v>190</v>
      </c>
      <c r="F30" s="88">
        <v>45819</v>
      </c>
      <c r="G30" s="88">
        <v>45832</v>
      </c>
      <c r="H30" s="88">
        <v>45984</v>
      </c>
      <c r="I30" s="89">
        <v>46196</v>
      </c>
      <c r="J30" s="111">
        <v>46433</v>
      </c>
      <c r="K30" s="90">
        <v>0.48</v>
      </c>
      <c r="L30" s="120"/>
      <c r="M30" s="127">
        <f t="shared" si="0"/>
        <v>234</v>
      </c>
      <c r="N30" s="121">
        <f t="shared" si="1"/>
        <v>237</v>
      </c>
      <c r="O30" s="122">
        <f t="shared" si="2"/>
        <v>7.9</v>
      </c>
      <c r="P30" s="121">
        <f t="shared" si="3"/>
        <v>601</v>
      </c>
      <c r="Q30" s="130">
        <f t="shared" si="4"/>
        <v>20.033333333333335</v>
      </c>
    </row>
    <row r="31" spans="1:17" ht="27" customHeight="1">
      <c r="A31" s="67"/>
      <c r="B31" s="72">
        <v>26</v>
      </c>
      <c r="C31" s="86" t="s">
        <v>201</v>
      </c>
      <c r="D31" s="81" t="s">
        <v>220</v>
      </c>
      <c r="E31" s="87" t="s">
        <v>242</v>
      </c>
      <c r="F31" s="88">
        <v>46097</v>
      </c>
      <c r="G31" s="88">
        <v>46136</v>
      </c>
      <c r="H31" s="88">
        <v>46155</v>
      </c>
      <c r="I31" s="89">
        <v>46500</v>
      </c>
      <c r="J31" s="111">
        <v>46538</v>
      </c>
      <c r="K31" s="90">
        <v>0.1</v>
      </c>
      <c r="L31" s="120"/>
      <c r="M31" s="127">
        <f t="shared" si="0"/>
        <v>339</v>
      </c>
      <c r="N31" s="121">
        <f t="shared" si="1"/>
        <v>38</v>
      </c>
      <c r="O31" s="122">
        <f t="shared" si="2"/>
        <v>1.2666666666666666</v>
      </c>
      <c r="P31" s="121">
        <f t="shared" si="3"/>
        <v>402</v>
      </c>
      <c r="Q31" s="130">
        <f t="shared" si="4"/>
        <v>13.4</v>
      </c>
    </row>
    <row r="32" spans="1:17" ht="27" customHeight="1">
      <c r="A32" s="67"/>
      <c r="B32" s="72">
        <v>27</v>
      </c>
      <c r="C32" s="86" t="s">
        <v>203</v>
      </c>
      <c r="D32" s="81" t="s">
        <v>193</v>
      </c>
      <c r="E32" s="87" t="s">
        <v>242</v>
      </c>
      <c r="F32" s="88">
        <v>46097</v>
      </c>
      <c r="G32" s="88">
        <v>46136</v>
      </c>
      <c r="H32" s="88">
        <v>46155</v>
      </c>
      <c r="I32" s="89">
        <v>46500</v>
      </c>
      <c r="J32" s="111">
        <v>46568</v>
      </c>
      <c r="K32" s="90">
        <v>0.05</v>
      </c>
      <c r="L32" s="120"/>
      <c r="M32" s="127">
        <f t="shared" si="0"/>
        <v>369</v>
      </c>
      <c r="N32" s="121">
        <f t="shared" si="1"/>
        <v>68</v>
      </c>
      <c r="O32" s="122">
        <f t="shared" si="2"/>
        <v>2.2666666666666666</v>
      </c>
      <c r="P32" s="121">
        <f t="shared" si="3"/>
        <v>432</v>
      </c>
      <c r="Q32" s="130">
        <f t="shared" si="4"/>
        <v>14.4</v>
      </c>
    </row>
    <row r="33" spans="1:17" ht="27" customHeight="1">
      <c r="A33" s="67"/>
      <c r="B33" s="72">
        <v>28</v>
      </c>
      <c r="C33" s="86" t="s">
        <v>204</v>
      </c>
      <c r="D33" s="81" t="s">
        <v>205</v>
      </c>
      <c r="E33" s="87" t="s">
        <v>190</v>
      </c>
      <c r="F33" s="88">
        <v>45920</v>
      </c>
      <c r="G33" s="88">
        <v>45814</v>
      </c>
      <c r="H33" s="88">
        <v>45792</v>
      </c>
      <c r="I33" s="89">
        <v>46239</v>
      </c>
      <c r="J33" s="111">
        <v>46433</v>
      </c>
      <c r="K33" s="90">
        <v>0.45</v>
      </c>
      <c r="L33" s="120"/>
      <c r="M33" s="127">
        <f t="shared" si="0"/>
        <v>234</v>
      </c>
      <c r="N33" s="121">
        <f t="shared" si="1"/>
        <v>194</v>
      </c>
      <c r="O33" s="122">
        <f t="shared" si="2"/>
        <v>6.4666666666666668</v>
      </c>
      <c r="P33" s="121">
        <f t="shared" si="3"/>
        <v>619</v>
      </c>
      <c r="Q33" s="130">
        <f t="shared" si="4"/>
        <v>20.633333333333333</v>
      </c>
    </row>
    <row r="34" spans="1:17" ht="27" customHeight="1">
      <c r="A34" s="67"/>
      <c r="B34" s="72">
        <v>29</v>
      </c>
      <c r="C34" s="80" t="s">
        <v>208</v>
      </c>
      <c r="D34" s="81" t="s">
        <v>142</v>
      </c>
      <c r="E34" s="87" t="s">
        <v>190</v>
      </c>
      <c r="F34" s="88">
        <v>45805</v>
      </c>
      <c r="G34" s="88">
        <v>46043</v>
      </c>
      <c r="H34" s="88">
        <v>46043</v>
      </c>
      <c r="I34" s="89">
        <v>46407</v>
      </c>
      <c r="J34" s="111">
        <v>46568</v>
      </c>
      <c r="K34" s="90">
        <v>0.25</v>
      </c>
      <c r="L34" s="120"/>
      <c r="M34" s="127">
        <f t="shared" si="0"/>
        <v>369</v>
      </c>
      <c r="N34" s="121">
        <f t="shared" si="1"/>
        <v>161</v>
      </c>
      <c r="O34" s="122">
        <f t="shared" si="2"/>
        <v>5.3666666666666663</v>
      </c>
      <c r="P34" s="121">
        <f t="shared" si="3"/>
        <v>525</v>
      </c>
      <c r="Q34" s="130">
        <f t="shared" si="4"/>
        <v>17.5</v>
      </c>
    </row>
    <row r="35" spans="1:17" ht="27" customHeight="1" thickBot="1">
      <c r="A35" s="67"/>
      <c r="B35" s="92">
        <v>30</v>
      </c>
      <c r="C35" s="93" t="s">
        <v>210</v>
      </c>
      <c r="D35" s="94" t="s">
        <v>162</v>
      </c>
      <c r="E35" s="95" t="s">
        <v>190</v>
      </c>
      <c r="F35" s="96">
        <v>45678</v>
      </c>
      <c r="G35" s="96">
        <v>45712</v>
      </c>
      <c r="H35" s="96">
        <v>45790</v>
      </c>
      <c r="I35" s="97">
        <v>46076</v>
      </c>
      <c r="J35" s="112">
        <v>46568</v>
      </c>
      <c r="K35" s="98">
        <v>0.27</v>
      </c>
      <c r="L35" s="120"/>
      <c r="M35" s="131">
        <f t="shared" si="0"/>
        <v>369</v>
      </c>
      <c r="N35" s="132">
        <f t="shared" si="1"/>
        <v>492</v>
      </c>
      <c r="O35" s="133">
        <f t="shared" si="2"/>
        <v>16.399999999999999</v>
      </c>
      <c r="P35" s="132">
        <f t="shared" si="3"/>
        <v>856</v>
      </c>
      <c r="Q35" s="134">
        <f t="shared" si="4"/>
        <v>28.533333333333335</v>
      </c>
    </row>
  </sheetData>
  <mergeCells count="7">
    <mergeCell ref="C3:F3"/>
    <mergeCell ref="G3:K3"/>
    <mergeCell ref="M3:Q3"/>
    <mergeCell ref="C4:F4"/>
    <mergeCell ref="G4:H4"/>
    <mergeCell ref="I4:J4"/>
    <mergeCell ref="M4:Q4"/>
  </mergeCells>
  <printOptions horizontalCentered="1" verticalCentered="1"/>
  <pageMargins left="0.25" right="0.25" top="0.75" bottom="0.75" header="0.3" footer="0.3"/>
  <pageSetup paperSize="8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villa stage wise status</vt:lpstr>
      <vt:lpstr>24th July status</vt:lpstr>
      <vt:lpstr>Villa timeline (site report)</vt:lpstr>
      <vt:lpstr>Villa timeline Jj </vt:lpstr>
      <vt:lpstr>Villa delay status</vt:lpstr>
      <vt:lpstr>Sheet1</vt:lpstr>
      <vt:lpstr>'24th July status'!Print_Area</vt:lpstr>
      <vt:lpstr>'Villa delay status'!Print_Area</vt:lpstr>
      <vt:lpstr>'villa stage wise status'!Print_Area</vt:lpstr>
      <vt:lpstr>'Villa timeline Jj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CPH2467</dc:creator>
  <cp:lastModifiedBy>Dell</cp:lastModifiedBy>
  <cp:lastPrinted>2026-06-30T08:18:29Z</cp:lastPrinted>
  <dcterms:created xsi:type="dcterms:W3CDTF">2006-09-12T19:00:00Z</dcterms:created>
  <dcterms:modified xsi:type="dcterms:W3CDTF">2026-09-03T07:38:54Z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37c2fb6b476f4fcebda065c451c3e8cd</vt:lpwstr>
  </property>
</Properties>
</file>
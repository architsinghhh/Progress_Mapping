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IP\Desktop\"/>
    </mc:Choice>
  </mc:AlternateContent>
  <xr:revisionPtr revIDLastSave="0" documentId="8_{040A7574-0EC9-48A1-8E2C-E29EF006A2B2}" xr6:coauthVersionLast="47" xr6:coauthVersionMax="47" xr10:uidLastSave="{00000000-0000-0000-0000-000000000000}"/>
  <bookViews>
    <workbookView xWindow="-108" yWindow="-108" windowWidth="23256" windowHeight="12456" activeTab="1" xr2:uid="{22C6E6C2-CFFB-4C17-9007-84A3B4ED563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2" i="2" l="1"/>
  <c r="AB4" i="1"/>
  <c r="F94" i="1"/>
  <c r="F93" i="1"/>
  <c r="F92" i="1"/>
  <c r="F91" i="1"/>
  <c r="F90" i="1"/>
  <c r="F89" i="1"/>
  <c r="F88" i="1"/>
  <c r="F87" i="1"/>
  <c r="F86" i="1"/>
  <c r="F85" i="1"/>
  <c r="H84" i="1" a="1"/>
  <c r="H84" i="1" s="1"/>
  <c r="F84" i="1"/>
  <c r="F83" i="1"/>
  <c r="F82" i="1"/>
  <c r="F81" i="1"/>
  <c r="F80" i="1"/>
  <c r="F79" i="1"/>
  <c r="F78" i="1"/>
  <c r="H77" i="1" a="1"/>
  <c r="H77" i="1" s="1"/>
  <c r="F77" i="1"/>
  <c r="F76" i="1"/>
  <c r="F75" i="1"/>
  <c r="F74" i="1"/>
  <c r="F73" i="1"/>
  <c r="F72" i="1"/>
  <c r="F71" i="1"/>
  <c r="H70" i="1" a="1"/>
  <c r="H70" i="1" s="1"/>
  <c r="F70" i="1"/>
  <c r="F69" i="1"/>
  <c r="F68" i="1"/>
  <c r="F67" i="1"/>
  <c r="E67" i="1"/>
  <c r="F66" i="1"/>
  <c r="E66" i="1"/>
  <c r="F65" i="1"/>
  <c r="E65" i="1"/>
  <c r="F64" i="1"/>
  <c r="D64" i="1"/>
  <c r="H63" i="1" a="1"/>
  <c r="H63" i="1" s="1"/>
  <c r="F63" i="1"/>
  <c r="E62" i="1"/>
  <c r="C62" i="1"/>
  <c r="F62" i="1" s="1"/>
  <c r="F61" i="1"/>
  <c r="E61" i="1"/>
  <c r="F60" i="1"/>
  <c r="E60" i="1"/>
  <c r="F59" i="1"/>
  <c r="E59" i="1"/>
  <c r="F58" i="1"/>
  <c r="F57" i="1"/>
  <c r="H56" i="1"/>
  <c r="H56" i="1" a="1"/>
  <c r="F56" i="1"/>
  <c r="F55" i="1"/>
  <c r="F54" i="1"/>
  <c r="F53" i="1"/>
  <c r="F52" i="1"/>
  <c r="F51" i="1"/>
  <c r="F50" i="1"/>
  <c r="H49" i="1" a="1"/>
  <c r="H49" i="1" s="1"/>
  <c r="F49" i="1"/>
  <c r="F48" i="1"/>
  <c r="F47" i="1"/>
  <c r="F46" i="1"/>
  <c r="F45" i="1"/>
  <c r="F44" i="1"/>
  <c r="F43" i="1"/>
  <c r="H42" i="1" a="1"/>
  <c r="H42" i="1" s="1"/>
  <c r="F42" i="1"/>
  <c r="F41" i="1"/>
  <c r="F40" i="1"/>
  <c r="F39" i="1"/>
  <c r="F38" i="1"/>
  <c r="F37" i="1"/>
  <c r="F36" i="1"/>
  <c r="H35" i="1" a="1"/>
  <c r="H35" i="1" s="1"/>
  <c r="F35" i="1"/>
  <c r="F34" i="1"/>
  <c r="F33" i="1"/>
  <c r="F32" i="1"/>
  <c r="F31" i="1"/>
  <c r="F30" i="1"/>
  <c r="F29" i="1"/>
  <c r="H28" i="1" a="1"/>
  <c r="H28" i="1" s="1"/>
  <c r="F28" i="1"/>
  <c r="F27" i="1"/>
  <c r="F26" i="1"/>
  <c r="F25" i="1"/>
  <c r="F24" i="1"/>
  <c r="F23" i="1"/>
  <c r="F22" i="1"/>
  <c r="H21" i="1" a="1"/>
  <c r="H21" i="1" s="1"/>
  <c r="F21" i="1"/>
  <c r="F20" i="1"/>
  <c r="F19" i="1"/>
  <c r="F18" i="1"/>
  <c r="F17" i="1"/>
  <c r="F16" i="1"/>
  <c r="F15" i="1"/>
  <c r="H14" i="1" a="1"/>
  <c r="H14" i="1" s="1"/>
  <c r="F14" i="1"/>
  <c r="H8" i="1"/>
  <c r="L29" i="2" l="1"/>
  <c r="L32" i="2"/>
  <c r="L33" i="2"/>
  <c r="L26" i="2"/>
  <c r="L27" i="2"/>
  <c r="M27" i="2" s="1"/>
  <c r="L28" i="2"/>
  <c r="L25" i="2"/>
  <c r="L6" i="2"/>
  <c r="M6" i="2" s="1"/>
  <c r="L7" i="2"/>
  <c r="M7" i="2" s="1"/>
  <c r="L8" i="2"/>
  <c r="M8" i="2" s="1"/>
  <c r="L9" i="2"/>
  <c r="M9" i="2" s="1"/>
  <c r="L10" i="2"/>
  <c r="M10" i="2" s="1"/>
  <c r="L11" i="2"/>
  <c r="M11" i="2" s="1"/>
  <c r="L12" i="2"/>
  <c r="L13" i="2"/>
  <c r="M13" i="2" s="1"/>
  <c r="L14" i="2"/>
  <c r="L15" i="2"/>
  <c r="L16" i="2"/>
  <c r="L17" i="2"/>
  <c r="M17" i="2" s="1"/>
  <c r="L5" i="2"/>
  <c r="M5" i="2" s="1"/>
  <c r="I42" i="2"/>
  <c r="H42" i="2"/>
  <c r="J29" i="2"/>
  <c r="G29" i="2"/>
  <c r="M29" i="2" s="1"/>
  <c r="J39" i="2"/>
  <c r="G39" i="2"/>
  <c r="J38" i="2"/>
  <c r="G38" i="2"/>
  <c r="J19" i="2"/>
  <c r="G19" i="2"/>
  <c r="J37" i="2"/>
  <c r="G37" i="2"/>
  <c r="J36" i="2"/>
  <c r="G36" i="2"/>
  <c r="J18" i="2"/>
  <c r="G18" i="2"/>
  <c r="J35" i="2"/>
  <c r="G35" i="2"/>
  <c r="J34" i="2"/>
  <c r="G34" i="2"/>
  <c r="J33" i="2"/>
  <c r="G33" i="2"/>
  <c r="J32" i="2"/>
  <c r="G32" i="2"/>
  <c r="J31" i="2"/>
  <c r="G31" i="2"/>
  <c r="J17" i="2"/>
  <c r="G17" i="2"/>
  <c r="J16" i="2"/>
  <c r="G16" i="2"/>
  <c r="J30" i="2"/>
  <c r="G30" i="2"/>
  <c r="J15" i="2"/>
  <c r="G15" i="2"/>
  <c r="J14" i="2"/>
  <c r="G14" i="2"/>
  <c r="J13" i="2"/>
  <c r="G13" i="2"/>
  <c r="J12" i="2"/>
  <c r="G12" i="2"/>
  <c r="J28" i="2"/>
  <c r="G28" i="2"/>
  <c r="J27" i="2"/>
  <c r="G27" i="2"/>
  <c r="J11" i="2"/>
  <c r="G11" i="2"/>
  <c r="J10" i="2"/>
  <c r="G10" i="2"/>
  <c r="J9" i="2"/>
  <c r="G9" i="2"/>
  <c r="J8" i="2"/>
  <c r="G8" i="2"/>
  <c r="J26" i="2"/>
  <c r="G26" i="2"/>
  <c r="J25" i="2"/>
  <c r="G25" i="2"/>
  <c r="J5" i="2"/>
  <c r="J6" i="2"/>
  <c r="J7" i="2"/>
  <c r="G7" i="2"/>
  <c r="G6" i="2"/>
  <c r="G5" i="2"/>
  <c r="M25" i="2" l="1"/>
  <c r="M26" i="2"/>
  <c r="L42" i="2"/>
  <c r="M28" i="2"/>
  <c r="M33" i="2"/>
  <c r="M16" i="2"/>
  <c r="M32" i="2"/>
  <c r="M12" i="2"/>
  <c r="M15" i="2"/>
  <c r="M14" i="2"/>
</calcChain>
</file>

<file path=xl/sharedStrings.xml><?xml version="1.0" encoding="utf-8"?>
<sst xmlns="http://schemas.openxmlformats.org/spreadsheetml/2006/main" count="346" uniqueCount="183">
  <si>
    <t>N10</t>
  </si>
  <si>
    <t>N62</t>
  </si>
  <si>
    <t>N05</t>
  </si>
  <si>
    <t>S18</t>
  </si>
  <si>
    <t>S14</t>
  </si>
  <si>
    <t>N27</t>
  </si>
  <si>
    <t>N14</t>
  </si>
  <si>
    <t>N3A</t>
  </si>
  <si>
    <t>N09</t>
  </si>
  <si>
    <t>S30</t>
  </si>
  <si>
    <t>S37</t>
  </si>
  <si>
    <t>N22</t>
  </si>
  <si>
    <t>N26</t>
  </si>
  <si>
    <t>N36</t>
  </si>
  <si>
    <t>N29</t>
  </si>
  <si>
    <t>S40</t>
  </si>
  <si>
    <t>N66</t>
  </si>
  <si>
    <t>N12A</t>
  </si>
  <si>
    <t xml:space="preserve">S38 </t>
  </si>
  <si>
    <t>S54</t>
  </si>
  <si>
    <t>S60</t>
  </si>
  <si>
    <t>S34</t>
  </si>
  <si>
    <t>S10</t>
  </si>
  <si>
    <t>N15</t>
  </si>
  <si>
    <t>S02</t>
  </si>
  <si>
    <t>S04</t>
  </si>
  <si>
    <t>N16</t>
  </si>
  <si>
    <t>S12A</t>
  </si>
  <si>
    <t>S06</t>
  </si>
  <si>
    <t>S 07/08</t>
  </si>
  <si>
    <t>N64</t>
  </si>
  <si>
    <t>N53</t>
  </si>
  <si>
    <t>N 6/78</t>
  </si>
  <si>
    <t>N11</t>
  </si>
  <si>
    <t>S32</t>
  </si>
  <si>
    <t>Zones</t>
  </si>
  <si>
    <t>South Zone</t>
  </si>
  <si>
    <t>North Zone</t>
  </si>
  <si>
    <t>Wings</t>
  </si>
  <si>
    <t>Actual time  to delivery (months)</t>
  </si>
  <si>
    <t>Over all Work % as on date</t>
  </si>
  <si>
    <t>Committed</t>
  </si>
  <si>
    <t>Actual</t>
  </si>
  <si>
    <t>Time to delivery (months)</t>
  </si>
  <si>
    <t>Start Date</t>
  </si>
  <si>
    <t>Possession Date</t>
  </si>
  <si>
    <t xml:space="preserve"> </t>
  </si>
  <si>
    <t>S50</t>
  </si>
  <si>
    <t>In Progress</t>
  </si>
  <si>
    <t>Delayed</t>
  </si>
  <si>
    <t>Status</t>
  </si>
  <si>
    <t>Not Started</t>
  </si>
  <si>
    <t xml:space="preserve">North Zone </t>
  </si>
  <si>
    <t xml:space="preserve">South Zone </t>
  </si>
  <si>
    <t xml:space="preserve">Wings </t>
  </si>
  <si>
    <t>Villas</t>
  </si>
  <si>
    <t>Green Ways</t>
  </si>
  <si>
    <t>Recration Lounge</t>
  </si>
  <si>
    <t>Club House</t>
  </si>
  <si>
    <t>Civil work</t>
  </si>
  <si>
    <t>Landscape work</t>
  </si>
  <si>
    <t>Finishing work</t>
  </si>
  <si>
    <t>MEP work</t>
  </si>
  <si>
    <t>INTERNAL ROADS WITH TRIMIX</t>
  </si>
  <si>
    <t>Common Area Landscaping Work Development</t>
  </si>
  <si>
    <t>Delayed %</t>
  </si>
  <si>
    <t>Delayed In Months</t>
  </si>
  <si>
    <t>PROJECT: THE SAGE BY REPOSE — CONSTRUCTION PLANNING</t>
  </si>
  <si>
    <t xml:space="preserve">        START DATE: Oct 2024     |     END DATE: DEC 2027     |     PROJECT DURATION: ~3 Years                                                               </t>
  </si>
  <si>
    <t>MONTHS PASSED(31ST MAY,26)</t>
  </si>
  <si>
    <t>ACTUAL (%)
COMPLETE</t>
  </si>
  <si>
    <t>TASK NO.</t>
  </si>
  <si>
    <t>TASK NAME</t>
  </si>
  <si>
    <t>START DATE</t>
  </si>
  <si>
    <t>PLANNED END DATE</t>
  </si>
  <si>
    <t>END DATE</t>
  </si>
  <si>
    <t>DURATION(in days)</t>
  </si>
  <si>
    <t>MAIN GATE(INC. STRUCTURE)</t>
  </si>
  <si>
    <t>NA</t>
  </si>
  <si>
    <t>Completed</t>
  </si>
  <si>
    <t>MATERIAL GATE</t>
  </si>
  <si>
    <t>PLOT BOUNDRY WALL</t>
  </si>
  <si>
    <t xml:space="preserve">  1.0   SOUTH GREENWAY-1</t>
  </si>
  <si>
    <t>1.1</t>
  </si>
  <si>
    <t>11-Dec-24</t>
  </si>
  <si>
    <t>1.2</t>
  </si>
  <si>
    <t>08-Jan-25</t>
  </si>
  <si>
    <t>1.3</t>
  </si>
  <si>
    <t>Finishing Work</t>
  </si>
  <si>
    <t>20-Jan-25</t>
  </si>
  <si>
    <t>1.4</t>
  </si>
  <si>
    <t>lighting work</t>
  </si>
  <si>
    <t>1.5</t>
  </si>
  <si>
    <t>25-Jan-25</t>
  </si>
  <si>
    <t xml:space="preserve">     2.0    SOUTH GREENWAY -2  </t>
  </si>
  <si>
    <t>2.1</t>
  </si>
  <si>
    <t>2.2</t>
  </si>
  <si>
    <t>MEP work(PRE)</t>
  </si>
  <si>
    <t>2.3</t>
  </si>
  <si>
    <t>MEP Work(post)</t>
  </si>
  <si>
    <t>2.4</t>
  </si>
  <si>
    <t>2.5</t>
  </si>
  <si>
    <t xml:space="preserve">  3.0   SOUTH GREENWAY-3</t>
  </si>
  <si>
    <t>3.1</t>
  </si>
  <si>
    <t>3.2</t>
  </si>
  <si>
    <t>3.3</t>
  </si>
  <si>
    <t>3.4</t>
  </si>
  <si>
    <t>3.5</t>
  </si>
  <si>
    <t xml:space="preserve">  4.0   SOUTH GREENWAY-4</t>
  </si>
  <si>
    <t>4.1</t>
  </si>
  <si>
    <t>4.2</t>
  </si>
  <si>
    <t>4.3</t>
  </si>
  <si>
    <t>4.4</t>
  </si>
  <si>
    <t>4.5</t>
  </si>
  <si>
    <t xml:space="preserve">  5.0   SOUTH GREENWAY-5</t>
  </si>
  <si>
    <t>5.1</t>
  </si>
  <si>
    <t>5.2</t>
  </si>
  <si>
    <t>5.3</t>
  </si>
  <si>
    <t>5.4</t>
  </si>
  <si>
    <t>5.5</t>
  </si>
  <si>
    <t xml:space="preserve">  6.0   NORTH GREENWAY-1</t>
  </si>
  <si>
    <t>6.1</t>
  </si>
  <si>
    <t>6.2</t>
  </si>
  <si>
    <t>6.3</t>
  </si>
  <si>
    <t>6.4</t>
  </si>
  <si>
    <t>6.5</t>
  </si>
  <si>
    <t xml:space="preserve">  7.0   NORTH GREENWAY-2</t>
  </si>
  <si>
    <t>7.1</t>
  </si>
  <si>
    <t>7.2</t>
  </si>
  <si>
    <t>7.3</t>
  </si>
  <si>
    <t>7.4</t>
  </si>
  <si>
    <t>7.5</t>
  </si>
  <si>
    <t xml:space="preserve">  8.0   NORTH GREENWAY-3</t>
  </si>
  <si>
    <t>8.1</t>
  </si>
  <si>
    <t>8.2</t>
  </si>
  <si>
    <t>8.3</t>
  </si>
  <si>
    <t>8.4</t>
  </si>
  <si>
    <t>8.5</t>
  </si>
  <si>
    <t xml:space="preserve">  9.0   NORTH GREENWAY-4</t>
  </si>
  <si>
    <t>9.1</t>
  </si>
  <si>
    <t>9.2</t>
  </si>
  <si>
    <t>9.3</t>
  </si>
  <si>
    <t>9.4</t>
  </si>
  <si>
    <t>9.5</t>
  </si>
  <si>
    <t xml:space="preserve">  10.0  NORTH GREENWAY-5</t>
  </si>
  <si>
    <t>10.1</t>
  </si>
  <si>
    <t>10.2</t>
  </si>
  <si>
    <t>10.3</t>
  </si>
  <si>
    <t>10.4</t>
  </si>
  <si>
    <t>10.5</t>
  </si>
  <si>
    <t xml:space="preserve">  11.0  RECREATION LOUNGE</t>
  </si>
  <si>
    <t>11.1</t>
  </si>
  <si>
    <t>11.2</t>
  </si>
  <si>
    <t>11.3</t>
  </si>
  <si>
    <t>11.4</t>
  </si>
  <si>
    <t>Interior Work</t>
  </si>
  <si>
    <t>11.5</t>
  </si>
  <si>
    <t>11.6</t>
  </si>
  <si>
    <t xml:space="preserve">  12.0   CLUB HOUSE</t>
  </si>
  <si>
    <t>12.1</t>
  </si>
  <si>
    <t>12.2</t>
  </si>
  <si>
    <t>12.3</t>
  </si>
  <si>
    <t>12.4</t>
  </si>
  <si>
    <t>12.5</t>
  </si>
  <si>
    <t>12.6</t>
  </si>
  <si>
    <t>COMMON AREA LANDSCAPING DEVELOPMENT</t>
  </si>
  <si>
    <t xml:space="preserve">PLUMBING WORKS &amp; IRRIGATION WORK </t>
  </si>
  <si>
    <t>ELECTRIC WORKS</t>
  </si>
  <si>
    <t>1.Villas</t>
  </si>
  <si>
    <t>2.Green Ways</t>
  </si>
  <si>
    <t>floors</t>
  </si>
  <si>
    <t>GreenWays</t>
  </si>
  <si>
    <t>North Green way 1</t>
  </si>
  <si>
    <t>North Green way 2</t>
  </si>
  <si>
    <t>North Green way 3</t>
  </si>
  <si>
    <t>North Green way 4</t>
  </si>
  <si>
    <t>North Green way 5</t>
  </si>
  <si>
    <t>South Green Way 1</t>
  </si>
  <si>
    <t>South Green Way 2</t>
  </si>
  <si>
    <t>South Green Way 3</t>
  </si>
  <si>
    <t>South Green Way 4</t>
  </si>
  <si>
    <t>South Green Way 5</t>
  </si>
  <si>
    <t xml:space="preserve">ROADS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</si>
</sst>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[$-409]d\-mmm\-yy"/>
    <numFmt numFmtId="168" formatCode="0.0"/>
    <numFmt numFmtId="169" formatCode="[$-F800]dddd\,\ mmmm\ dd\,\ yyyy"/>
  </numFmts>
  <fonts count="26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sz val="13"/>
      <name val="Times New Roman"/>
      <family val="1"/>
    </font>
    <font>
      <b/>
      <sz val="13"/>
      <name val="Avenir Book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3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name val="Times New Roman"/>
      <family val="1"/>
    </font>
    <font>
      <b/>
      <sz val="16"/>
      <color theme="1"/>
      <name val="Times New Roman"/>
      <family val="1"/>
    </font>
    <font>
      <sz val="14"/>
      <color rgb="FF262626"/>
      <name val="Times New Roman"/>
      <family val="1"/>
    </font>
    <font>
      <b/>
      <sz val="14"/>
      <color rgb="FF262626"/>
      <name val="Times New Roman"/>
      <family val="1"/>
    </font>
    <font>
      <b/>
      <sz val="14"/>
      <color rgb="FF1F3864"/>
      <name val="Times New Roman"/>
      <family val="1"/>
    </font>
    <font>
      <b/>
      <sz val="14"/>
      <color rgb="FF595959"/>
      <name val="Times New Roman"/>
      <family val="1"/>
    </font>
    <font>
      <b/>
      <sz val="14"/>
      <color rgb="FF00B050"/>
      <name val="Times New Roman"/>
      <family val="1"/>
    </font>
    <font>
      <sz val="14"/>
      <color rgb="FF595959"/>
      <name val="Times New Roman"/>
      <family val="1"/>
    </font>
    <font>
      <sz val="14"/>
      <color rgb="FF00B050"/>
      <name val="Times New Roman"/>
      <family val="1"/>
    </font>
    <font>
      <b/>
      <sz val="14"/>
      <color rgb="FFC55A11"/>
      <name val="Times New Roman"/>
      <family val="1"/>
    </font>
    <font>
      <sz val="11"/>
      <color rgb="FFFFFFFF"/>
      <name val="Calibri"/>
      <family val="2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CE4D6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157">
    <xf numFmtId="0" fontId="0" fillId="0" borderId="0" xfId="0"/>
    <xf numFmtId="15" fontId="3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right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right" vertical="center" wrapText="1"/>
    </xf>
    <xf numFmtId="165" fontId="7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9" fontId="2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165" fontId="2" fillId="0" borderId="11" xfId="0" applyNumberFormat="1" applyFont="1" applyBorder="1" applyAlignment="1">
      <alignment horizontal="right" vertical="center"/>
    </xf>
    <xf numFmtId="165" fontId="6" fillId="0" borderId="11" xfId="0" applyNumberFormat="1" applyFont="1" applyBorder="1" applyAlignment="1">
      <alignment horizontal="right" vertical="center"/>
    </xf>
    <xf numFmtId="3" fontId="6" fillId="0" borderId="11" xfId="0" applyNumberFormat="1" applyFont="1" applyBorder="1" applyAlignment="1">
      <alignment horizontal="center" vertical="center"/>
    </xf>
    <xf numFmtId="9" fontId="7" fillId="0" borderId="11" xfId="0" applyNumberFormat="1" applyFont="1" applyBorder="1" applyAlignment="1">
      <alignment horizontal="center" vertical="center"/>
    </xf>
    <xf numFmtId="9" fontId="2" fillId="0" borderId="1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5" fontId="3" fillId="3" borderId="1" xfId="0" applyNumberFormat="1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3" fillId="0" borderId="1" xfId="0" applyFont="1" applyFill="1" applyBorder="1"/>
    <xf numFmtId="0" fontId="1" fillId="2" borderId="1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3" fillId="0" borderId="15" xfId="0" applyFont="1" applyBorder="1"/>
    <xf numFmtId="0" fontId="13" fillId="0" borderId="15" xfId="0" applyFont="1" applyFill="1" applyBorder="1"/>
    <xf numFmtId="0" fontId="0" fillId="0" borderId="1" xfId="0" applyBorder="1"/>
    <xf numFmtId="0" fontId="4" fillId="0" borderId="1" xfId="0" applyFont="1" applyBorder="1" applyAlignment="1">
      <alignment horizontal="center"/>
    </xf>
    <xf numFmtId="168" fontId="4" fillId="0" borderId="1" xfId="0" applyNumberFormat="1" applyFont="1" applyBorder="1"/>
    <xf numFmtId="0" fontId="1" fillId="2" borderId="1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center" indent="1"/>
    </xf>
    <xf numFmtId="0" fontId="13" fillId="0" borderId="12" xfId="0" applyFont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7" fillId="7" borderId="15" xfId="0" applyFont="1" applyFill="1" applyBorder="1" applyAlignment="1">
      <alignment horizontal="center" vertical="center"/>
    </xf>
    <xf numFmtId="0" fontId="17" fillId="7" borderId="1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15" fillId="5" borderId="15" xfId="0" applyFont="1" applyFill="1" applyBorder="1" applyAlignment="1"/>
    <xf numFmtId="0" fontId="15" fillId="5" borderId="16" xfId="0" applyFont="1" applyFill="1" applyBorder="1" applyAlignment="1"/>
    <xf numFmtId="0" fontId="15" fillId="5" borderId="17" xfId="0" applyFont="1" applyFill="1" applyBorder="1" applyAlignment="1"/>
    <xf numFmtId="0" fontId="0" fillId="8" borderId="1" xfId="0" applyFill="1" applyBorder="1"/>
    <xf numFmtId="0" fontId="1" fillId="2" borderId="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wrapText="1"/>
    </xf>
    <xf numFmtId="165" fontId="2" fillId="0" borderId="12" xfId="0" applyNumberFormat="1" applyFont="1" applyBorder="1" applyAlignment="1">
      <alignment horizontal="right" vertical="center" wrapText="1"/>
    </xf>
    <xf numFmtId="165" fontId="6" fillId="0" borderId="12" xfId="0" applyNumberFormat="1" applyFont="1" applyBorder="1" applyAlignment="1">
      <alignment horizontal="right" vertical="center"/>
    </xf>
    <xf numFmtId="3" fontId="6" fillId="0" borderId="12" xfId="0" applyNumberFormat="1" applyFont="1" applyBorder="1" applyAlignment="1">
      <alignment horizontal="center" vertical="center"/>
    </xf>
    <xf numFmtId="9" fontId="7" fillId="0" borderId="12" xfId="0" applyNumberFormat="1" applyFont="1" applyBorder="1" applyAlignment="1">
      <alignment horizontal="center" vertical="center" wrapText="1"/>
    </xf>
    <xf numFmtId="9" fontId="2" fillId="0" borderId="12" xfId="0" applyNumberFormat="1" applyFont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center"/>
    </xf>
    <xf numFmtId="0" fontId="13" fillId="0" borderId="19" xfId="0" applyFont="1" applyBorder="1"/>
    <xf numFmtId="0" fontId="14" fillId="5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13" fillId="0" borderId="1" xfId="0" applyNumberFormat="1" applyFont="1" applyBorder="1" applyAlignment="1">
      <alignment horizontal="center" vertical="center"/>
    </xf>
    <xf numFmtId="9" fontId="4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3" fontId="4" fillId="8" borderId="1" xfId="0" applyNumberFormat="1" applyFont="1" applyFill="1" applyBorder="1" applyAlignment="1">
      <alignment horizontal="center" vertical="center"/>
    </xf>
    <xf numFmtId="9" fontId="4" fillId="0" borderId="12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3" fillId="12" borderId="1" xfId="0" applyFont="1" applyFill="1" applyBorder="1"/>
    <xf numFmtId="0" fontId="13" fillId="12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9" fontId="22" fillId="12" borderId="1" xfId="0" applyNumberFormat="1" applyFont="1" applyFill="1" applyBorder="1" applyAlignment="1">
      <alignment horizontal="center" vertical="center"/>
    </xf>
    <xf numFmtId="9" fontId="22" fillId="12" borderId="1" xfId="1" applyFont="1" applyFill="1" applyBorder="1" applyAlignment="1">
      <alignment horizontal="center"/>
    </xf>
    <xf numFmtId="0" fontId="16" fillId="12" borderId="1" xfId="0" applyFont="1" applyFill="1" applyBorder="1" applyAlignment="1">
      <alignment horizontal="left" vertical="center" indent="1"/>
    </xf>
    <xf numFmtId="14" fontId="17" fillId="12" borderId="1" xfId="0" applyNumberFormat="1" applyFont="1" applyFill="1" applyBorder="1" applyAlignment="1">
      <alignment horizontal="center" vertical="center"/>
    </xf>
    <xf numFmtId="14" fontId="20" fillId="12" borderId="1" xfId="0" applyNumberFormat="1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/>
    </xf>
    <xf numFmtId="0" fontId="21" fillId="6" borderId="1" xfId="0" applyFont="1" applyFill="1" applyBorder="1" applyAlignment="1">
      <alignment horizontal="center" vertical="center"/>
    </xf>
    <xf numFmtId="169" fontId="16" fillId="6" borderId="1" xfId="0" applyNumberFormat="1" applyFont="1" applyFill="1" applyBorder="1" applyAlignment="1">
      <alignment horizontal="center" vertical="center"/>
    </xf>
    <xf numFmtId="169" fontId="16" fillId="15" borderId="1" xfId="0" applyNumberFormat="1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left" vertical="center"/>
    </xf>
    <xf numFmtId="0" fontId="13" fillId="9" borderId="1" xfId="0" applyFont="1" applyFill="1" applyBorder="1"/>
    <xf numFmtId="0" fontId="19" fillId="10" borderId="1" xfId="0" applyFont="1" applyFill="1" applyBorder="1" applyAlignment="1">
      <alignment vertical="center"/>
    </xf>
    <xf numFmtId="0" fontId="4" fillId="10" borderId="1" xfId="0" applyFont="1" applyFill="1" applyBorder="1"/>
    <xf numFmtId="0" fontId="13" fillId="10" borderId="1" xfId="0" applyFont="1" applyFill="1" applyBorder="1"/>
    <xf numFmtId="0" fontId="1" fillId="11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169" fontId="17" fillId="7" borderId="1" xfId="0" applyNumberFormat="1" applyFont="1" applyFill="1" applyBorder="1" applyAlignment="1">
      <alignment horizontal="center" vertical="center"/>
    </xf>
    <xf numFmtId="9" fontId="4" fillId="14" borderId="1" xfId="1" applyFont="1" applyFill="1" applyBorder="1" applyAlignment="1">
      <alignment horizontal="center"/>
    </xf>
    <xf numFmtId="9" fontId="23" fillId="16" borderId="1" xfId="0" applyNumberFormat="1" applyFont="1" applyFill="1" applyBorder="1" applyAlignment="1">
      <alignment horizontal="center" vertical="center"/>
    </xf>
    <xf numFmtId="9" fontId="19" fillId="4" borderId="1" xfId="0" applyNumberFormat="1" applyFont="1" applyFill="1" applyBorder="1" applyAlignment="1">
      <alignment horizontal="center" vertical="center"/>
    </xf>
    <xf numFmtId="169" fontId="4" fillId="7" borderId="1" xfId="0" applyNumberFormat="1" applyFont="1" applyFill="1" applyBorder="1" applyAlignment="1">
      <alignment horizontal="center" vertical="center"/>
    </xf>
    <xf numFmtId="169" fontId="13" fillId="6" borderId="1" xfId="0" applyNumberFormat="1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 indent="1"/>
    </xf>
    <xf numFmtId="169" fontId="13" fillId="7" borderId="1" xfId="0" applyNumberFormat="1" applyFont="1" applyFill="1" applyBorder="1" applyAlignment="1">
      <alignment horizontal="center"/>
    </xf>
    <xf numFmtId="2" fontId="19" fillId="9" borderId="1" xfId="0" applyNumberFormat="1" applyFont="1" applyFill="1" applyBorder="1" applyAlignment="1">
      <alignment horizontal="center" vertical="center"/>
    </xf>
    <xf numFmtId="9" fontId="23" fillId="14" borderId="1" xfId="0" applyNumberFormat="1" applyFont="1" applyFill="1" applyBorder="1" applyAlignment="1">
      <alignment horizontal="center" vertical="center"/>
    </xf>
    <xf numFmtId="17" fontId="24" fillId="17" borderId="20" xfId="0" applyNumberFormat="1" applyFont="1" applyFill="1" applyBorder="1" applyAlignment="1">
      <alignment horizontal="center" vertical="center" wrapText="1"/>
    </xf>
    <xf numFmtId="2" fontId="4" fillId="9" borderId="11" xfId="0" applyNumberFormat="1" applyFont="1" applyFill="1" applyBorder="1" applyAlignment="1">
      <alignment horizontal="center" vertical="center" wrapText="1"/>
    </xf>
    <xf numFmtId="2" fontId="4" fillId="9" borderId="9" xfId="0" applyNumberFormat="1" applyFont="1" applyFill="1" applyBorder="1" applyAlignment="1">
      <alignment horizontal="center" vertical="center" wrapText="1"/>
    </xf>
    <xf numFmtId="2" fontId="4" fillId="9" borderId="12" xfId="0" applyNumberFormat="1" applyFont="1" applyFill="1" applyBorder="1" applyAlignment="1">
      <alignment horizontal="center" vertical="center" wrapText="1"/>
    </xf>
    <xf numFmtId="2" fontId="4" fillId="9" borderId="11" xfId="0" applyNumberFormat="1" applyFont="1" applyFill="1" applyBorder="1" applyAlignment="1">
      <alignment horizontal="center" vertical="center"/>
    </xf>
    <xf numFmtId="2" fontId="4" fillId="9" borderId="9" xfId="0" applyNumberFormat="1" applyFont="1" applyFill="1" applyBorder="1" applyAlignment="1">
      <alignment horizontal="center" vertical="center"/>
    </xf>
    <xf numFmtId="2" fontId="4" fillId="9" borderId="12" xfId="0" applyNumberFormat="1" applyFont="1" applyFill="1" applyBorder="1" applyAlignment="1">
      <alignment horizontal="center" vertical="center"/>
    </xf>
    <xf numFmtId="0" fontId="4" fillId="13" borderId="15" xfId="0" applyFont="1" applyFill="1" applyBorder="1" applyAlignment="1">
      <alignment horizontal="center"/>
    </xf>
    <xf numFmtId="0" fontId="8" fillId="0" borderId="1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4" fillId="13" borderId="16" xfId="0" applyFont="1" applyFill="1" applyBorder="1" applyAlignment="1">
      <alignment horizontal="center"/>
    </xf>
    <xf numFmtId="0" fontId="0" fillId="0" borderId="22" xfId="0" applyBorder="1"/>
    <xf numFmtId="0" fontId="0" fillId="0" borderId="10" xfId="0" applyBorder="1"/>
    <xf numFmtId="0" fontId="0" fillId="0" borderId="19" xfId="0" applyBorder="1"/>
    <xf numFmtId="0" fontId="0" fillId="0" borderId="23" xfId="0" applyBorder="1"/>
    <xf numFmtId="0" fontId="0" fillId="0" borderId="18" xfId="0" applyBorder="1"/>
    <xf numFmtId="0" fontId="0" fillId="0" borderId="21" xfId="0" applyBorder="1"/>
    <xf numFmtId="0" fontId="1" fillId="13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5" fillId="13" borderId="1" xfId="0" applyFont="1" applyFill="1" applyBorder="1"/>
    <xf numFmtId="3" fontId="5" fillId="13" borderId="1" xfId="0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2C66F-695C-48A6-BB0B-C765C6453495}">
  <dimension ref="A1:AB95"/>
  <sheetViews>
    <sheetView topLeftCell="A71" zoomScale="55" zoomScaleNormal="55" workbookViewId="0">
      <selection activeCell="B52" sqref="B52"/>
    </sheetView>
  </sheetViews>
  <sheetFormatPr defaultRowHeight="14.4"/>
  <cols>
    <col min="1" max="1" width="24.77734375" customWidth="1"/>
    <col min="2" max="2" width="68.21875" customWidth="1"/>
    <col min="3" max="3" width="40.21875" customWidth="1"/>
    <col min="4" max="4" width="31.6640625" customWidth="1"/>
    <col min="5" max="5" width="27.5546875" customWidth="1"/>
    <col min="6" max="6" width="24.44140625" customWidth="1"/>
    <col min="7" max="7" width="22.33203125" customWidth="1"/>
    <col min="8" max="8" width="14.44140625" customWidth="1"/>
  </cols>
  <sheetData>
    <row r="1" spans="1:28" ht="18">
      <c r="A1" s="108" t="s">
        <v>67</v>
      </c>
      <c r="B1" s="109"/>
      <c r="C1" s="109"/>
      <c r="D1" s="109"/>
      <c r="E1" s="109"/>
      <c r="F1" s="109"/>
      <c r="G1" s="109"/>
      <c r="H1" s="109"/>
    </row>
    <row r="2" spans="1:28" ht="18">
      <c r="A2" s="110" t="s">
        <v>68</v>
      </c>
      <c r="B2" s="111"/>
      <c r="C2" s="111"/>
      <c r="D2" s="111"/>
      <c r="E2" s="111"/>
      <c r="F2" s="111"/>
      <c r="G2" s="111"/>
      <c r="H2" s="112"/>
    </row>
    <row r="3" spans="1:28" ht="17.399999999999999">
      <c r="A3" s="113"/>
      <c r="B3" s="113"/>
      <c r="C3" s="113"/>
      <c r="D3" s="113"/>
      <c r="E3" s="113"/>
      <c r="F3" s="113"/>
      <c r="G3" s="114" t="s">
        <v>69</v>
      </c>
      <c r="H3" s="114" t="s">
        <v>70</v>
      </c>
    </row>
    <row r="4" spans="1:28" ht="34.799999999999997">
      <c r="A4" s="115" t="s">
        <v>71</v>
      </c>
      <c r="B4" s="115" t="s">
        <v>72</v>
      </c>
      <c r="C4" s="115" t="s">
        <v>73</v>
      </c>
      <c r="D4" s="115" t="s">
        <v>74</v>
      </c>
      <c r="E4" s="115" t="s">
        <v>75</v>
      </c>
      <c r="F4" s="115" t="s">
        <v>76</v>
      </c>
      <c r="G4" s="114"/>
      <c r="H4" s="114"/>
      <c r="AB4" s="127" t="e">
        <f>EDATE(#REF!,1)</f>
        <v>#REF!</v>
      </c>
    </row>
    <row r="5" spans="1:28" ht="18">
      <c r="A5" s="94">
        <v>1</v>
      </c>
      <c r="B5" s="95" t="s">
        <v>77</v>
      </c>
      <c r="C5" s="96" t="s">
        <v>78</v>
      </c>
      <c r="D5" s="97" t="s">
        <v>79</v>
      </c>
      <c r="E5" s="97"/>
      <c r="F5" s="98">
        <v>0</v>
      </c>
      <c r="G5" s="98"/>
      <c r="H5" s="99">
        <v>1</v>
      </c>
    </row>
    <row r="6" spans="1:28" ht="18">
      <c r="A6" s="94">
        <v>2</v>
      </c>
      <c r="B6" s="95" t="s">
        <v>80</v>
      </c>
      <c r="C6" s="96" t="s">
        <v>78</v>
      </c>
      <c r="D6" s="97" t="s">
        <v>79</v>
      </c>
      <c r="E6" s="97"/>
      <c r="F6" s="98">
        <v>0</v>
      </c>
      <c r="G6" s="98"/>
      <c r="H6" s="99">
        <v>1</v>
      </c>
    </row>
    <row r="7" spans="1:28" ht="18">
      <c r="A7" s="94">
        <v>3</v>
      </c>
      <c r="B7" s="95" t="s">
        <v>81</v>
      </c>
      <c r="C7" s="96" t="s">
        <v>78</v>
      </c>
      <c r="D7" s="97" t="s">
        <v>79</v>
      </c>
      <c r="E7" s="97"/>
      <c r="F7" s="98">
        <v>0</v>
      </c>
      <c r="G7" s="98"/>
      <c r="H7" s="99">
        <v>1</v>
      </c>
    </row>
    <row r="8" spans="1:28" ht="18">
      <c r="A8" s="93" t="s">
        <v>82</v>
      </c>
      <c r="B8" s="93"/>
      <c r="C8" s="93"/>
      <c r="D8" s="93"/>
      <c r="E8" s="94"/>
      <c r="F8" s="95"/>
      <c r="G8" s="95"/>
      <c r="H8" s="100">
        <f>SUMPRODUCT(H9:H13/5)</f>
        <v>1</v>
      </c>
    </row>
    <row r="9" spans="1:28" ht="18">
      <c r="A9" s="98" t="s">
        <v>83</v>
      </c>
      <c r="B9" s="101" t="s">
        <v>59</v>
      </c>
      <c r="C9" s="102" t="s">
        <v>84</v>
      </c>
      <c r="D9" s="103" t="s">
        <v>79</v>
      </c>
      <c r="E9" s="103"/>
      <c r="F9" s="98">
        <v>0</v>
      </c>
      <c r="G9" s="98"/>
      <c r="H9" s="99">
        <v>1</v>
      </c>
    </row>
    <row r="10" spans="1:28" ht="18">
      <c r="A10" s="98" t="s">
        <v>85</v>
      </c>
      <c r="B10" s="101" t="s">
        <v>62</v>
      </c>
      <c r="C10" s="102" t="s">
        <v>86</v>
      </c>
      <c r="D10" s="103" t="s">
        <v>79</v>
      </c>
      <c r="E10" s="103"/>
      <c r="F10" s="98">
        <v>0</v>
      </c>
      <c r="G10" s="98"/>
      <c r="H10" s="99">
        <v>1</v>
      </c>
    </row>
    <row r="11" spans="1:28" ht="18">
      <c r="A11" s="98" t="s">
        <v>87</v>
      </c>
      <c r="B11" s="101" t="s">
        <v>88</v>
      </c>
      <c r="C11" s="102" t="s">
        <v>89</v>
      </c>
      <c r="D11" s="103" t="s">
        <v>79</v>
      </c>
      <c r="E11" s="103"/>
      <c r="F11" s="98">
        <v>0</v>
      </c>
      <c r="G11" s="98"/>
      <c r="H11" s="99">
        <v>1</v>
      </c>
    </row>
    <row r="12" spans="1:28" ht="18">
      <c r="A12" s="98" t="s">
        <v>90</v>
      </c>
      <c r="B12" s="101" t="s">
        <v>91</v>
      </c>
      <c r="C12" s="102" t="s">
        <v>89</v>
      </c>
      <c r="D12" s="103" t="s">
        <v>79</v>
      </c>
      <c r="E12" s="103"/>
      <c r="F12" s="98">
        <v>0</v>
      </c>
      <c r="G12" s="98"/>
      <c r="H12" s="99">
        <v>1</v>
      </c>
    </row>
    <row r="13" spans="1:28" ht="18">
      <c r="A13" s="98" t="s">
        <v>92</v>
      </c>
      <c r="B13" s="101" t="s">
        <v>60</v>
      </c>
      <c r="C13" s="102" t="s">
        <v>93</v>
      </c>
      <c r="D13" s="103" t="s">
        <v>79</v>
      </c>
      <c r="E13" s="103"/>
      <c r="F13" s="98">
        <v>0</v>
      </c>
      <c r="G13" s="98"/>
      <c r="H13" s="99">
        <v>1</v>
      </c>
    </row>
    <row r="14" spans="1:28" ht="18">
      <c r="A14" s="56" t="s">
        <v>94</v>
      </c>
      <c r="B14" s="56"/>
      <c r="C14" s="56"/>
      <c r="D14" s="56"/>
      <c r="E14" s="116"/>
      <c r="F14" s="104" t="str">
        <f>ROUNDUP((E17-C15)/30,0) &amp;"MONTHS"</f>
        <v>10MONTHS</v>
      </c>
      <c r="G14" s="128">
        <v>3.53</v>
      </c>
      <c r="H14" s="117">
        <f t="array" ref="H14">SUMPRODUCT(H15:H20/3)</f>
        <v>0.6</v>
      </c>
    </row>
    <row r="15" spans="1:28" ht="18">
      <c r="A15" s="105" t="s">
        <v>95</v>
      </c>
      <c r="B15" s="54" t="s">
        <v>59</v>
      </c>
      <c r="C15" s="106">
        <v>46068</v>
      </c>
      <c r="D15" s="107">
        <v>46157</v>
      </c>
      <c r="E15" s="106">
        <v>46295</v>
      </c>
      <c r="F15" s="105">
        <f t="shared" ref="F15:F20" si="0">SUM(E15-C15)</f>
        <v>227</v>
      </c>
      <c r="G15" s="129"/>
      <c r="H15" s="118">
        <v>0.8</v>
      </c>
    </row>
    <row r="16" spans="1:28" ht="18">
      <c r="A16" s="105" t="s">
        <v>96</v>
      </c>
      <c r="B16" s="54" t="s">
        <v>97</v>
      </c>
      <c r="C16" s="106">
        <v>46188</v>
      </c>
      <c r="D16" s="107">
        <v>46326</v>
      </c>
      <c r="E16" s="106">
        <v>46198</v>
      </c>
      <c r="F16" s="105">
        <f t="shared" si="0"/>
        <v>10</v>
      </c>
      <c r="G16" s="129"/>
      <c r="H16" s="118">
        <v>1</v>
      </c>
    </row>
    <row r="17" spans="1:8" ht="18">
      <c r="A17" s="105" t="s">
        <v>98</v>
      </c>
      <c r="B17" s="54" t="s">
        <v>88</v>
      </c>
      <c r="C17" s="106">
        <v>46189</v>
      </c>
      <c r="D17" s="107">
        <v>46326</v>
      </c>
      <c r="E17" s="106">
        <v>46356</v>
      </c>
      <c r="F17" s="105">
        <f t="shared" si="0"/>
        <v>167</v>
      </c>
      <c r="G17" s="129"/>
      <c r="H17" s="119">
        <v>0</v>
      </c>
    </row>
    <row r="18" spans="1:8" ht="18">
      <c r="A18" s="105"/>
      <c r="B18" s="54" t="s">
        <v>99</v>
      </c>
      <c r="C18" s="106">
        <v>46339</v>
      </c>
      <c r="D18" s="107"/>
      <c r="E18" s="106">
        <v>46356</v>
      </c>
      <c r="F18" s="105">
        <f t="shared" si="0"/>
        <v>17</v>
      </c>
      <c r="G18" s="129"/>
      <c r="H18" s="119">
        <v>0</v>
      </c>
    </row>
    <row r="19" spans="1:8" ht="18">
      <c r="A19" s="105" t="s">
        <v>100</v>
      </c>
      <c r="B19" s="54" t="s">
        <v>91</v>
      </c>
      <c r="C19" s="106">
        <v>46325</v>
      </c>
      <c r="D19" s="107">
        <v>46310</v>
      </c>
      <c r="E19" s="106">
        <v>46356</v>
      </c>
      <c r="F19" s="105">
        <f t="shared" si="0"/>
        <v>31</v>
      </c>
      <c r="G19" s="129"/>
      <c r="H19" s="119">
        <v>0</v>
      </c>
    </row>
    <row r="20" spans="1:8" ht="18">
      <c r="A20" s="105" t="s">
        <v>101</v>
      </c>
      <c r="B20" s="54" t="s">
        <v>60</v>
      </c>
      <c r="C20" s="106">
        <v>46341</v>
      </c>
      <c r="D20" s="107">
        <v>46326</v>
      </c>
      <c r="E20" s="106">
        <v>46402</v>
      </c>
      <c r="F20" s="105">
        <f t="shared" si="0"/>
        <v>61</v>
      </c>
      <c r="G20" s="130"/>
      <c r="H20" s="119">
        <v>0</v>
      </c>
    </row>
    <row r="21" spans="1:8" ht="18">
      <c r="A21" s="62" t="s">
        <v>102</v>
      </c>
      <c r="B21" s="62"/>
      <c r="C21" s="62"/>
      <c r="D21" s="62"/>
      <c r="E21" s="120"/>
      <c r="F21" s="104" t="str">
        <f>ROUNDUP((E24-C22)/30,0) &amp;"MONTHS"</f>
        <v>10MONTHS</v>
      </c>
      <c r="G21" s="131">
        <v>3.13</v>
      </c>
      <c r="H21" s="117">
        <f t="array" ref="H21">SUMPRODUCT(H22:H27/3)</f>
        <v>0.33333333333333331</v>
      </c>
    </row>
    <row r="22" spans="1:8" ht="18">
      <c r="A22" s="105" t="s">
        <v>103</v>
      </c>
      <c r="B22" s="54" t="s">
        <v>59</v>
      </c>
      <c r="C22" s="106">
        <v>46080</v>
      </c>
      <c r="D22" s="107">
        <v>46172</v>
      </c>
      <c r="E22" s="106">
        <v>46295</v>
      </c>
      <c r="F22" s="105">
        <f t="shared" ref="F22:F27" si="1">SUM(E22-C22)</f>
        <v>215</v>
      </c>
      <c r="G22" s="132"/>
      <c r="H22" s="118">
        <v>0.6</v>
      </c>
    </row>
    <row r="23" spans="1:8" ht="18">
      <c r="A23" s="105" t="s">
        <v>104</v>
      </c>
      <c r="B23" s="54" t="s">
        <v>97</v>
      </c>
      <c r="C23" s="106">
        <v>46203</v>
      </c>
      <c r="D23" s="107">
        <v>46326</v>
      </c>
      <c r="E23" s="106">
        <v>46213</v>
      </c>
      <c r="F23" s="105">
        <f t="shared" si="1"/>
        <v>10</v>
      </c>
      <c r="G23" s="132"/>
      <c r="H23" s="119">
        <v>0.4</v>
      </c>
    </row>
    <row r="24" spans="1:8" ht="18">
      <c r="A24" s="105" t="s">
        <v>105</v>
      </c>
      <c r="B24" s="54" t="s">
        <v>88</v>
      </c>
      <c r="C24" s="106">
        <v>46204</v>
      </c>
      <c r="D24" s="107">
        <v>46326</v>
      </c>
      <c r="E24" s="106">
        <v>46371</v>
      </c>
      <c r="F24" s="105">
        <f t="shared" si="1"/>
        <v>167</v>
      </c>
      <c r="G24" s="132"/>
      <c r="H24" s="119">
        <v>0</v>
      </c>
    </row>
    <row r="25" spans="1:8" ht="18">
      <c r="A25" s="105"/>
      <c r="B25" s="54" t="s">
        <v>99</v>
      </c>
      <c r="C25" s="106">
        <v>46357</v>
      </c>
      <c r="D25" s="107"/>
      <c r="E25" s="106">
        <v>46367</v>
      </c>
      <c r="F25" s="105">
        <f t="shared" si="1"/>
        <v>10</v>
      </c>
      <c r="G25" s="132"/>
      <c r="H25" s="119">
        <v>0</v>
      </c>
    </row>
    <row r="26" spans="1:8" ht="18">
      <c r="A26" s="105" t="s">
        <v>106</v>
      </c>
      <c r="B26" s="54" t="s">
        <v>91</v>
      </c>
      <c r="C26" s="106">
        <v>46341</v>
      </c>
      <c r="D26" s="107">
        <v>46310</v>
      </c>
      <c r="E26" s="106">
        <v>46371</v>
      </c>
      <c r="F26" s="105">
        <f t="shared" si="1"/>
        <v>30</v>
      </c>
      <c r="G26" s="132"/>
      <c r="H26" s="119">
        <v>0</v>
      </c>
    </row>
    <row r="27" spans="1:8" ht="18">
      <c r="A27" s="105" t="s">
        <v>107</v>
      </c>
      <c r="B27" s="54" t="s">
        <v>60</v>
      </c>
      <c r="C27" s="106">
        <v>46290</v>
      </c>
      <c r="D27" s="107">
        <v>46326</v>
      </c>
      <c r="E27" s="106">
        <v>46351</v>
      </c>
      <c r="F27" s="105">
        <f t="shared" si="1"/>
        <v>61</v>
      </c>
      <c r="G27" s="133"/>
      <c r="H27" s="119">
        <v>0</v>
      </c>
    </row>
    <row r="28" spans="1:8" ht="18">
      <c r="A28" s="56" t="s">
        <v>108</v>
      </c>
      <c r="B28" s="56"/>
      <c r="C28" s="56"/>
      <c r="D28" s="56"/>
      <c r="E28" s="116"/>
      <c r="F28" s="104" t="str">
        <f>ROUNDUP((E31-C29)/30,0) &amp;"MONTHS"</f>
        <v>11MONTHS</v>
      </c>
      <c r="G28" s="131">
        <v>3.53</v>
      </c>
      <c r="H28" s="117">
        <f t="array" ref="H28">SUMPRODUCT(H29:H34/3)</f>
        <v>0.36666666666666664</v>
      </c>
    </row>
    <row r="29" spans="1:8" ht="18">
      <c r="A29" s="105" t="s">
        <v>109</v>
      </c>
      <c r="B29" s="54" t="s">
        <v>59</v>
      </c>
      <c r="C29" s="106">
        <v>46068</v>
      </c>
      <c r="D29" s="106">
        <v>46203</v>
      </c>
      <c r="E29" s="106">
        <v>46295</v>
      </c>
      <c r="F29" s="105">
        <f t="shared" ref="F29:F34" si="2">SUM(E29-C29)</f>
        <v>227</v>
      </c>
      <c r="G29" s="132"/>
      <c r="H29" s="118">
        <v>0.6</v>
      </c>
    </row>
    <row r="30" spans="1:8" ht="18">
      <c r="A30" s="105" t="s">
        <v>110</v>
      </c>
      <c r="B30" s="54" t="s">
        <v>97</v>
      </c>
      <c r="C30" s="106">
        <v>46218</v>
      </c>
      <c r="D30" s="106">
        <v>46387</v>
      </c>
      <c r="E30" s="106">
        <v>46228</v>
      </c>
      <c r="F30" s="105">
        <f t="shared" si="2"/>
        <v>10</v>
      </c>
      <c r="G30" s="132"/>
      <c r="H30" s="119">
        <v>0.5</v>
      </c>
    </row>
    <row r="31" spans="1:8" ht="18">
      <c r="A31" s="105" t="s">
        <v>111</v>
      </c>
      <c r="B31" s="54" t="s">
        <v>88</v>
      </c>
      <c r="C31" s="106">
        <v>46203</v>
      </c>
      <c r="D31" s="106">
        <v>46387</v>
      </c>
      <c r="E31" s="106">
        <v>46387</v>
      </c>
      <c r="F31" s="105">
        <f t="shared" si="2"/>
        <v>184</v>
      </c>
      <c r="G31" s="132"/>
      <c r="H31" s="119">
        <v>0</v>
      </c>
    </row>
    <row r="32" spans="1:8" ht="18">
      <c r="A32" s="105"/>
      <c r="B32" s="54" t="s">
        <v>99</v>
      </c>
      <c r="C32" s="106">
        <v>46346</v>
      </c>
      <c r="D32" s="106"/>
      <c r="E32" s="106">
        <v>46356</v>
      </c>
      <c r="F32" s="105">
        <f t="shared" si="2"/>
        <v>10</v>
      </c>
      <c r="G32" s="132"/>
      <c r="H32" s="119">
        <v>0</v>
      </c>
    </row>
    <row r="33" spans="1:8" ht="18">
      <c r="A33" s="105" t="s">
        <v>112</v>
      </c>
      <c r="B33" s="54" t="s">
        <v>91</v>
      </c>
      <c r="C33" s="106">
        <v>46341</v>
      </c>
      <c r="D33" s="107">
        <v>46310</v>
      </c>
      <c r="E33" s="106">
        <v>46371</v>
      </c>
      <c r="F33" s="105">
        <f t="shared" si="2"/>
        <v>30</v>
      </c>
      <c r="G33" s="132"/>
      <c r="H33" s="119">
        <v>0</v>
      </c>
    </row>
    <row r="34" spans="1:8" ht="18">
      <c r="A34" s="105" t="s">
        <v>113</v>
      </c>
      <c r="B34" s="54" t="s">
        <v>60</v>
      </c>
      <c r="C34" s="106">
        <v>46290</v>
      </c>
      <c r="D34" s="106">
        <v>46326</v>
      </c>
      <c r="E34" s="106">
        <v>46351</v>
      </c>
      <c r="F34" s="105">
        <f t="shared" si="2"/>
        <v>61</v>
      </c>
      <c r="G34" s="133"/>
      <c r="H34" s="119">
        <v>0</v>
      </c>
    </row>
    <row r="35" spans="1:8" ht="18">
      <c r="A35" s="56" t="s">
        <v>114</v>
      </c>
      <c r="B35" s="56"/>
      <c r="C35" s="56"/>
      <c r="D35" s="56"/>
      <c r="E35" s="116"/>
      <c r="F35" s="104" t="str">
        <f>ROUNDUP((E38-C36)/30,0) &amp;"MONTHS"</f>
        <v>10MONTHS</v>
      </c>
      <c r="G35" s="131">
        <v>0.9</v>
      </c>
      <c r="H35" s="117">
        <f t="array" ref="H35">SUMPRODUCT(H36:H41/3)</f>
        <v>0.16666666666666666</v>
      </c>
    </row>
    <row r="36" spans="1:8" ht="18">
      <c r="A36" s="105" t="s">
        <v>115</v>
      </c>
      <c r="B36" s="54" t="s">
        <v>59</v>
      </c>
      <c r="C36" s="106">
        <v>46147</v>
      </c>
      <c r="D36" s="106">
        <v>46270</v>
      </c>
      <c r="E36" s="106">
        <v>46310</v>
      </c>
      <c r="F36" s="105">
        <f t="shared" ref="F36:F41" si="3">SUM(E36-C36)</f>
        <v>163</v>
      </c>
      <c r="G36" s="132"/>
      <c r="H36" s="118">
        <v>0.5</v>
      </c>
    </row>
    <row r="37" spans="1:8" ht="18">
      <c r="A37" s="105" t="s">
        <v>116</v>
      </c>
      <c r="B37" s="54" t="s">
        <v>97</v>
      </c>
      <c r="C37" s="106">
        <v>46218</v>
      </c>
      <c r="D37" s="106">
        <v>46387</v>
      </c>
      <c r="E37" s="106">
        <v>46228</v>
      </c>
      <c r="F37" s="105">
        <f t="shared" si="3"/>
        <v>10</v>
      </c>
      <c r="G37" s="132"/>
      <c r="H37" s="119">
        <v>0</v>
      </c>
    </row>
    <row r="38" spans="1:8" ht="18">
      <c r="A38" s="105" t="s">
        <v>117</v>
      </c>
      <c r="B38" s="54" t="s">
        <v>88</v>
      </c>
      <c r="C38" s="106">
        <v>46254</v>
      </c>
      <c r="D38" s="106">
        <v>46387</v>
      </c>
      <c r="E38" s="106">
        <v>46418</v>
      </c>
      <c r="F38" s="105">
        <f t="shared" si="3"/>
        <v>164</v>
      </c>
      <c r="G38" s="132"/>
      <c r="H38" s="119">
        <v>0</v>
      </c>
    </row>
    <row r="39" spans="1:8" ht="18">
      <c r="A39" s="105"/>
      <c r="B39" s="54" t="s">
        <v>99</v>
      </c>
      <c r="C39" s="106">
        <v>46387</v>
      </c>
      <c r="D39" s="106"/>
      <c r="E39" s="106">
        <v>46397</v>
      </c>
      <c r="F39" s="105">
        <f t="shared" si="3"/>
        <v>10</v>
      </c>
      <c r="G39" s="132"/>
      <c r="H39" s="119">
        <v>0</v>
      </c>
    </row>
    <row r="40" spans="1:8" ht="18">
      <c r="A40" s="105" t="s">
        <v>118</v>
      </c>
      <c r="B40" s="54" t="s">
        <v>91</v>
      </c>
      <c r="C40" s="106">
        <v>46388</v>
      </c>
      <c r="D40" s="106">
        <v>46371</v>
      </c>
      <c r="E40" s="106">
        <v>46418</v>
      </c>
      <c r="F40" s="105">
        <f t="shared" si="3"/>
        <v>30</v>
      </c>
      <c r="G40" s="132"/>
      <c r="H40" s="119">
        <v>0</v>
      </c>
    </row>
    <row r="41" spans="1:8" ht="18">
      <c r="A41" s="105" t="s">
        <v>119</v>
      </c>
      <c r="B41" s="54" t="s">
        <v>60</v>
      </c>
      <c r="C41" s="106">
        <v>46341</v>
      </c>
      <c r="D41" s="106">
        <v>46387</v>
      </c>
      <c r="E41" s="106">
        <v>46402</v>
      </c>
      <c r="F41" s="105">
        <f t="shared" si="3"/>
        <v>61</v>
      </c>
      <c r="G41" s="133"/>
      <c r="H41" s="119">
        <v>0</v>
      </c>
    </row>
    <row r="42" spans="1:8" ht="18">
      <c r="A42" s="56" t="s">
        <v>120</v>
      </c>
      <c r="B42" s="56"/>
      <c r="C42" s="56"/>
      <c r="D42" s="56"/>
      <c r="E42" s="116"/>
      <c r="F42" s="104" t="str">
        <f>ROUNDUP((E45-C43)/30,0) &amp;"MONTHS"</f>
        <v>12MONTHS</v>
      </c>
      <c r="G42" s="131">
        <v>7.63</v>
      </c>
      <c r="H42" s="117">
        <f t="array" ref="H42">SUMPRODUCT(H43:H48/3)</f>
        <v>0.76666666666666661</v>
      </c>
    </row>
    <row r="43" spans="1:8" ht="18">
      <c r="A43" s="105" t="s">
        <v>121</v>
      </c>
      <c r="B43" s="54" t="s">
        <v>59</v>
      </c>
      <c r="C43" s="106">
        <v>45945</v>
      </c>
      <c r="D43" s="106">
        <v>46081</v>
      </c>
      <c r="E43" s="106">
        <v>46234</v>
      </c>
      <c r="F43" s="105">
        <f t="shared" ref="F43:F48" si="4">SUM(E43-C43)</f>
        <v>289</v>
      </c>
      <c r="G43" s="132"/>
      <c r="H43" s="118">
        <v>0.9</v>
      </c>
    </row>
    <row r="44" spans="1:8" ht="18">
      <c r="A44" s="105" t="s">
        <v>122</v>
      </c>
      <c r="B44" s="54" t="s">
        <v>97</v>
      </c>
      <c r="C44" s="106">
        <v>46113</v>
      </c>
      <c r="D44" s="106">
        <v>46249</v>
      </c>
      <c r="E44" s="106">
        <v>46123</v>
      </c>
      <c r="F44" s="105">
        <f t="shared" si="4"/>
        <v>10</v>
      </c>
      <c r="G44" s="132"/>
      <c r="H44" s="119">
        <v>0.7</v>
      </c>
    </row>
    <row r="45" spans="1:8" ht="18">
      <c r="A45" s="105" t="s">
        <v>123</v>
      </c>
      <c r="B45" s="54" t="s">
        <v>88</v>
      </c>
      <c r="C45" s="106">
        <v>46132</v>
      </c>
      <c r="D45" s="106">
        <v>46249</v>
      </c>
      <c r="E45" s="106">
        <v>46295</v>
      </c>
      <c r="F45" s="105">
        <f t="shared" si="4"/>
        <v>163</v>
      </c>
      <c r="G45" s="132"/>
      <c r="H45" s="118">
        <v>0.4</v>
      </c>
    </row>
    <row r="46" spans="1:8" ht="18">
      <c r="A46" s="105"/>
      <c r="B46" s="54" t="s">
        <v>99</v>
      </c>
      <c r="C46" s="106">
        <v>46280</v>
      </c>
      <c r="D46" s="106"/>
      <c r="E46" s="106">
        <v>46290</v>
      </c>
      <c r="F46" s="105">
        <f t="shared" si="4"/>
        <v>10</v>
      </c>
      <c r="G46" s="132"/>
      <c r="H46" s="118">
        <v>0</v>
      </c>
    </row>
    <row r="47" spans="1:8" ht="18">
      <c r="A47" s="105" t="s">
        <v>124</v>
      </c>
      <c r="B47" s="54" t="s">
        <v>91</v>
      </c>
      <c r="C47" s="106">
        <v>46264</v>
      </c>
      <c r="D47" s="106">
        <v>46233</v>
      </c>
      <c r="E47" s="106">
        <v>46295</v>
      </c>
      <c r="F47" s="105">
        <f t="shared" si="4"/>
        <v>31</v>
      </c>
      <c r="G47" s="132"/>
      <c r="H47" s="119">
        <v>0</v>
      </c>
    </row>
    <row r="48" spans="1:8" ht="18">
      <c r="A48" s="105" t="s">
        <v>125</v>
      </c>
      <c r="B48" s="54" t="s">
        <v>60</v>
      </c>
      <c r="C48" s="106">
        <v>46214</v>
      </c>
      <c r="D48" s="106">
        <v>46249</v>
      </c>
      <c r="E48" s="106">
        <v>46275</v>
      </c>
      <c r="F48" s="105">
        <f t="shared" si="4"/>
        <v>61</v>
      </c>
      <c r="G48" s="133"/>
      <c r="H48" s="118">
        <v>0.3</v>
      </c>
    </row>
    <row r="49" spans="1:8" ht="18">
      <c r="A49" s="56" t="s">
        <v>126</v>
      </c>
      <c r="B49" s="56"/>
      <c r="C49" s="56"/>
      <c r="D49" s="56"/>
      <c r="E49" s="116"/>
      <c r="F49" s="104" t="str">
        <f>ROUNDUP((E52-C50)/30,0) &amp;"MONTHS"</f>
        <v>8MONTHS</v>
      </c>
      <c r="G49" s="131">
        <v>0.03</v>
      </c>
      <c r="H49" s="117">
        <f t="array" ref="H49">SUMPRODUCT(H50:H55/3)</f>
        <v>6.6666666666666666E-2</v>
      </c>
    </row>
    <row r="50" spans="1:8" ht="18">
      <c r="A50" s="105" t="s">
        <v>127</v>
      </c>
      <c r="B50" s="54" t="s">
        <v>59</v>
      </c>
      <c r="C50" s="106">
        <v>46173</v>
      </c>
      <c r="D50" s="106">
        <v>46265</v>
      </c>
      <c r="E50" s="106">
        <v>46325</v>
      </c>
      <c r="F50" s="105">
        <f t="shared" ref="F50:F69" si="5">SUM(E50-C50)</f>
        <v>152</v>
      </c>
      <c r="G50" s="132"/>
      <c r="H50" s="118">
        <v>0.2</v>
      </c>
    </row>
    <row r="51" spans="1:8" ht="18">
      <c r="A51" s="105" t="s">
        <v>128</v>
      </c>
      <c r="B51" s="54" t="s">
        <v>97</v>
      </c>
      <c r="C51" s="106">
        <v>46235</v>
      </c>
      <c r="D51" s="121">
        <v>46387</v>
      </c>
      <c r="E51" s="121">
        <v>46245</v>
      </c>
      <c r="F51" s="105">
        <f t="shared" si="5"/>
        <v>10</v>
      </c>
      <c r="G51" s="132"/>
      <c r="H51" s="119">
        <v>0</v>
      </c>
    </row>
    <row r="52" spans="1:8" ht="18">
      <c r="A52" s="105" t="s">
        <v>129</v>
      </c>
      <c r="B52" s="54" t="s">
        <v>88</v>
      </c>
      <c r="C52" s="106">
        <v>46218</v>
      </c>
      <c r="D52" s="106">
        <v>46387</v>
      </c>
      <c r="E52" s="106">
        <v>46387</v>
      </c>
      <c r="F52" s="105">
        <f t="shared" si="5"/>
        <v>169</v>
      </c>
      <c r="G52" s="132"/>
      <c r="H52" s="119">
        <v>0</v>
      </c>
    </row>
    <row r="53" spans="1:8" ht="18">
      <c r="A53" s="105"/>
      <c r="B53" s="54" t="s">
        <v>99</v>
      </c>
      <c r="C53" s="106">
        <v>46371</v>
      </c>
      <c r="D53" s="106"/>
      <c r="E53" s="106">
        <v>46381</v>
      </c>
      <c r="F53" s="105">
        <f t="shared" si="5"/>
        <v>10</v>
      </c>
      <c r="G53" s="132"/>
      <c r="H53" s="119">
        <v>0</v>
      </c>
    </row>
    <row r="54" spans="1:8" ht="18">
      <c r="A54" s="105" t="s">
        <v>130</v>
      </c>
      <c r="B54" s="54" t="s">
        <v>91</v>
      </c>
      <c r="C54" s="106">
        <v>46357</v>
      </c>
      <c r="D54" s="106">
        <v>46371</v>
      </c>
      <c r="E54" s="106">
        <v>46387</v>
      </c>
      <c r="F54" s="105">
        <f t="shared" si="5"/>
        <v>30</v>
      </c>
      <c r="G54" s="132"/>
      <c r="H54" s="119">
        <v>0</v>
      </c>
    </row>
    <row r="55" spans="1:8" ht="18">
      <c r="A55" s="105" t="s">
        <v>131</v>
      </c>
      <c r="B55" s="54" t="s">
        <v>60</v>
      </c>
      <c r="C55" s="106">
        <v>46305</v>
      </c>
      <c r="D55" s="106">
        <v>46387</v>
      </c>
      <c r="E55" s="106">
        <v>46366</v>
      </c>
      <c r="F55" s="105">
        <f t="shared" si="5"/>
        <v>61</v>
      </c>
      <c r="G55" s="133"/>
      <c r="H55" s="119">
        <v>0</v>
      </c>
    </row>
    <row r="56" spans="1:8" ht="18">
      <c r="A56" s="56" t="s">
        <v>132</v>
      </c>
      <c r="B56" s="56"/>
      <c r="C56" s="56"/>
      <c r="D56" s="56"/>
      <c r="E56" s="116"/>
      <c r="F56" s="104" t="str">
        <f>ROUNDUP((D62-C57)/30,0) &amp;"MONTHS"</f>
        <v>6MONTHS</v>
      </c>
      <c r="G56" s="131">
        <v>-3.53</v>
      </c>
      <c r="H56" s="117">
        <f t="array" ref="H56">SUMPRODUCT(H57:H62/3)</f>
        <v>0</v>
      </c>
    </row>
    <row r="57" spans="1:8" ht="18">
      <c r="A57" s="105" t="s">
        <v>133</v>
      </c>
      <c r="B57" s="54" t="s">
        <v>59</v>
      </c>
      <c r="C57" s="106">
        <v>46280</v>
      </c>
      <c r="D57" s="106">
        <v>46402</v>
      </c>
      <c r="E57" s="106">
        <v>46402</v>
      </c>
      <c r="F57" s="105">
        <f t="shared" ref="F57:F76" si="6">SUM(E57-C57)</f>
        <v>122</v>
      </c>
      <c r="G57" s="132"/>
      <c r="H57" s="119">
        <v>0</v>
      </c>
    </row>
    <row r="58" spans="1:8" ht="18">
      <c r="A58" s="105" t="s">
        <v>134</v>
      </c>
      <c r="B58" s="54" t="s">
        <v>97</v>
      </c>
      <c r="C58" s="106">
        <v>46357</v>
      </c>
      <c r="D58" s="121">
        <v>46397</v>
      </c>
      <c r="E58" s="121">
        <v>46367</v>
      </c>
      <c r="F58" s="105">
        <f t="shared" si="6"/>
        <v>10</v>
      </c>
      <c r="G58" s="132"/>
      <c r="H58" s="119">
        <v>0</v>
      </c>
    </row>
    <row r="59" spans="1:8" ht="18">
      <c r="A59" s="105" t="s">
        <v>135</v>
      </c>
      <c r="B59" s="54" t="s">
        <v>88</v>
      </c>
      <c r="C59" s="106">
        <v>46341</v>
      </c>
      <c r="D59" s="121">
        <v>46387</v>
      </c>
      <c r="E59" s="121">
        <f>+C59+160</f>
        <v>46501</v>
      </c>
      <c r="F59" s="105">
        <f t="shared" si="6"/>
        <v>160</v>
      </c>
      <c r="G59" s="132"/>
      <c r="H59" s="119">
        <v>0</v>
      </c>
    </row>
    <row r="60" spans="1:8" ht="18">
      <c r="A60" s="105"/>
      <c r="B60" s="54" t="s">
        <v>99</v>
      </c>
      <c r="C60" s="106">
        <v>46487</v>
      </c>
      <c r="D60" s="121"/>
      <c r="E60" s="121">
        <f>+C60+10</f>
        <v>46497</v>
      </c>
      <c r="F60" s="105">
        <f t="shared" si="6"/>
        <v>10</v>
      </c>
      <c r="G60" s="132"/>
      <c r="H60" s="119">
        <v>0</v>
      </c>
    </row>
    <row r="61" spans="1:8" ht="18">
      <c r="A61" s="105" t="s">
        <v>136</v>
      </c>
      <c r="B61" s="54" t="s">
        <v>91</v>
      </c>
      <c r="C61" s="121">
        <v>46478</v>
      </c>
      <c r="D61" s="121">
        <v>46371</v>
      </c>
      <c r="E61" s="121">
        <f>+C61+30</f>
        <v>46508</v>
      </c>
      <c r="F61" s="105">
        <f t="shared" si="6"/>
        <v>30</v>
      </c>
      <c r="G61" s="132"/>
      <c r="H61" s="119">
        <v>0</v>
      </c>
    </row>
    <row r="62" spans="1:8" ht="18">
      <c r="A62" s="105" t="s">
        <v>137</v>
      </c>
      <c r="B62" s="54" t="s">
        <v>60</v>
      </c>
      <c r="C62" s="121">
        <f>+E62-136</f>
        <v>46326</v>
      </c>
      <c r="D62" s="121">
        <v>46446</v>
      </c>
      <c r="E62" s="121">
        <f>+C57+182</f>
        <v>46462</v>
      </c>
      <c r="F62" s="105">
        <f t="shared" si="6"/>
        <v>136</v>
      </c>
      <c r="G62" s="133"/>
      <c r="H62" s="119">
        <v>0</v>
      </c>
    </row>
    <row r="63" spans="1:8" ht="18">
      <c r="A63" s="56" t="s">
        <v>138</v>
      </c>
      <c r="B63" s="56"/>
      <c r="C63" s="56"/>
      <c r="D63" s="56"/>
      <c r="E63" s="116"/>
      <c r="F63" s="104" t="str">
        <f>ROUNDUP((D69-C64)/30,0) &amp;"MONTHS"</f>
        <v>6MONTHS</v>
      </c>
      <c r="G63" s="131">
        <v>-4.07</v>
      </c>
      <c r="H63" s="117">
        <f t="array" ref="H63">SUMPRODUCT(H64:H69/3)</f>
        <v>0</v>
      </c>
    </row>
    <row r="64" spans="1:8" ht="18">
      <c r="A64" s="105" t="s">
        <v>139</v>
      </c>
      <c r="B64" s="54" t="s">
        <v>59</v>
      </c>
      <c r="C64" s="106">
        <v>46296</v>
      </c>
      <c r="D64" s="106">
        <f>+C64+122</f>
        <v>46418</v>
      </c>
      <c r="E64" s="106">
        <v>46418</v>
      </c>
      <c r="F64" s="105">
        <f t="shared" ref="F64:F83" si="7">SUM(E64-C64)</f>
        <v>122</v>
      </c>
      <c r="G64" s="132"/>
      <c r="H64" s="119">
        <v>0</v>
      </c>
    </row>
    <row r="65" spans="1:8" ht="18">
      <c r="A65" s="105" t="s">
        <v>140</v>
      </c>
      <c r="B65" s="54" t="s">
        <v>97</v>
      </c>
      <c r="C65" s="106">
        <v>46372</v>
      </c>
      <c r="D65" s="121">
        <v>46387</v>
      </c>
      <c r="E65" s="121">
        <f>+C65+10</f>
        <v>46382</v>
      </c>
      <c r="F65" s="105">
        <f t="shared" si="7"/>
        <v>10</v>
      </c>
      <c r="G65" s="132"/>
      <c r="H65" s="119">
        <v>0</v>
      </c>
    </row>
    <row r="66" spans="1:8" ht="18">
      <c r="A66" s="105" t="s">
        <v>141</v>
      </c>
      <c r="B66" s="54" t="s">
        <v>88</v>
      </c>
      <c r="C66" s="106">
        <v>46327</v>
      </c>
      <c r="D66" s="121">
        <v>46387</v>
      </c>
      <c r="E66" s="121">
        <f>+C66+160</f>
        <v>46487</v>
      </c>
      <c r="F66" s="105">
        <f t="shared" si="7"/>
        <v>160</v>
      </c>
      <c r="G66" s="132"/>
      <c r="H66" s="119">
        <v>0</v>
      </c>
    </row>
    <row r="67" spans="1:8" ht="18">
      <c r="A67" s="105"/>
      <c r="B67" s="54" t="s">
        <v>99</v>
      </c>
      <c r="C67" s="106">
        <v>46471</v>
      </c>
      <c r="D67" s="121"/>
      <c r="E67" s="121">
        <f>+C67+10</f>
        <v>46481</v>
      </c>
      <c r="F67" s="105">
        <f t="shared" si="7"/>
        <v>10</v>
      </c>
      <c r="G67" s="132"/>
      <c r="H67" s="119">
        <v>0</v>
      </c>
    </row>
    <row r="68" spans="1:8" ht="18">
      <c r="A68" s="105" t="s">
        <v>142</v>
      </c>
      <c r="B68" s="54" t="s">
        <v>91</v>
      </c>
      <c r="C68" s="121">
        <v>46340</v>
      </c>
      <c r="D68" s="121">
        <v>46371</v>
      </c>
      <c r="E68" s="121">
        <v>46371</v>
      </c>
      <c r="F68" s="105">
        <f t="shared" si="7"/>
        <v>31</v>
      </c>
      <c r="G68" s="132"/>
      <c r="H68" s="119">
        <v>0</v>
      </c>
    </row>
    <row r="69" spans="1:8" ht="18">
      <c r="A69" s="105" t="s">
        <v>143</v>
      </c>
      <c r="B69" s="54" t="s">
        <v>60</v>
      </c>
      <c r="C69" s="121">
        <v>46326</v>
      </c>
      <c r="D69" s="121">
        <v>46464</v>
      </c>
      <c r="E69" s="121">
        <v>46464</v>
      </c>
      <c r="F69" s="105">
        <f t="shared" si="7"/>
        <v>138</v>
      </c>
      <c r="G69" s="133"/>
      <c r="H69" s="119">
        <v>0</v>
      </c>
    </row>
    <row r="70" spans="1:8" ht="18">
      <c r="A70" s="56" t="s">
        <v>144</v>
      </c>
      <c r="B70" s="56"/>
      <c r="C70" s="56"/>
      <c r="D70" s="56"/>
      <c r="E70" s="116"/>
      <c r="F70" s="104" t="str">
        <f>ROUNDUP((E73-C71)/30,0) &amp;"MONTHS"</f>
        <v>8MONTHS</v>
      </c>
      <c r="G70" s="131">
        <v>0.56999999999999995</v>
      </c>
      <c r="H70" s="117">
        <f t="array" ref="H70">SUMPRODUCT(H71:H76/3)</f>
        <v>0.13333333333333333</v>
      </c>
    </row>
    <row r="71" spans="1:8" ht="18">
      <c r="A71" s="105" t="s">
        <v>145</v>
      </c>
      <c r="B71" s="54" t="s">
        <v>59</v>
      </c>
      <c r="C71" s="106">
        <v>46157</v>
      </c>
      <c r="D71" s="106">
        <v>46264</v>
      </c>
      <c r="E71" s="106">
        <v>46305</v>
      </c>
      <c r="F71" s="105">
        <f t="shared" ref="F71:F76" si="8">SUM(E71-C71)</f>
        <v>148</v>
      </c>
      <c r="G71" s="132"/>
      <c r="H71" s="118">
        <v>0.4</v>
      </c>
    </row>
    <row r="72" spans="1:8" ht="18">
      <c r="A72" s="105" t="s">
        <v>146</v>
      </c>
      <c r="B72" s="54" t="s">
        <v>97</v>
      </c>
      <c r="C72" s="106">
        <v>46233</v>
      </c>
      <c r="D72" s="106">
        <v>46387</v>
      </c>
      <c r="E72" s="106">
        <v>46244</v>
      </c>
      <c r="F72" s="105">
        <f t="shared" si="8"/>
        <v>11</v>
      </c>
      <c r="G72" s="132"/>
      <c r="H72" s="119">
        <v>0</v>
      </c>
    </row>
    <row r="73" spans="1:8" ht="18">
      <c r="A73" s="105" t="s">
        <v>147</v>
      </c>
      <c r="B73" s="54" t="s">
        <v>88</v>
      </c>
      <c r="C73" s="106">
        <v>46223</v>
      </c>
      <c r="D73" s="106">
        <v>46387</v>
      </c>
      <c r="E73" s="106">
        <v>46386</v>
      </c>
      <c r="F73" s="105">
        <f t="shared" si="8"/>
        <v>163</v>
      </c>
      <c r="G73" s="132"/>
      <c r="H73" s="119">
        <v>0</v>
      </c>
    </row>
    <row r="74" spans="1:8" ht="18">
      <c r="A74" s="105"/>
      <c r="B74" s="54" t="s">
        <v>99</v>
      </c>
      <c r="C74" s="106">
        <v>46315</v>
      </c>
      <c r="D74" s="106"/>
      <c r="E74" s="106">
        <v>46325</v>
      </c>
      <c r="F74" s="105">
        <f t="shared" si="8"/>
        <v>10</v>
      </c>
      <c r="G74" s="132"/>
      <c r="H74" s="119">
        <v>0</v>
      </c>
    </row>
    <row r="75" spans="1:8" ht="18">
      <c r="A75" s="105" t="s">
        <v>148</v>
      </c>
      <c r="B75" s="54" t="s">
        <v>91</v>
      </c>
      <c r="C75" s="106">
        <v>46356</v>
      </c>
      <c r="D75" s="106">
        <v>46371</v>
      </c>
      <c r="E75" s="106">
        <v>46386</v>
      </c>
      <c r="F75" s="105">
        <f t="shared" si="8"/>
        <v>30</v>
      </c>
      <c r="G75" s="132"/>
      <c r="H75" s="119">
        <v>0</v>
      </c>
    </row>
    <row r="76" spans="1:8" ht="18">
      <c r="A76" s="105" t="s">
        <v>149</v>
      </c>
      <c r="B76" s="54" t="s">
        <v>60</v>
      </c>
      <c r="C76" s="106">
        <v>46305</v>
      </c>
      <c r="D76" s="106">
        <v>46387</v>
      </c>
      <c r="E76" s="106">
        <v>46366</v>
      </c>
      <c r="F76" s="105">
        <f t="shared" si="8"/>
        <v>61</v>
      </c>
      <c r="G76" s="133"/>
      <c r="H76" s="119">
        <v>0</v>
      </c>
    </row>
    <row r="77" spans="1:8" ht="18">
      <c r="A77" s="56" t="s">
        <v>150</v>
      </c>
      <c r="B77" s="56"/>
      <c r="C77" s="56"/>
      <c r="D77" s="56"/>
      <c r="E77" s="116"/>
      <c r="F77" s="104" t="str">
        <f>ROUNDUP((E80-C78)/30,0) &amp;"MONTHS"</f>
        <v>27MONTHS</v>
      </c>
      <c r="G77" s="131">
        <v>20.13</v>
      </c>
      <c r="H77" s="117">
        <f t="array" ref="H77">SUMPRODUCT(H78:H82/3)</f>
        <v>0.3</v>
      </c>
    </row>
    <row r="78" spans="1:8" ht="18">
      <c r="A78" s="105" t="s">
        <v>151</v>
      </c>
      <c r="B78" s="54" t="s">
        <v>59</v>
      </c>
      <c r="C78" s="121">
        <v>45570</v>
      </c>
      <c r="D78" s="121">
        <v>46280</v>
      </c>
      <c r="E78" s="121">
        <v>46280</v>
      </c>
      <c r="F78" s="105">
        <f t="shared" ref="F78:F83" si="9">SUM(E78-C78)</f>
        <v>710</v>
      </c>
      <c r="G78" s="132"/>
      <c r="H78" s="118">
        <v>0.7</v>
      </c>
    </row>
    <row r="79" spans="1:8" ht="18">
      <c r="A79" s="105" t="s">
        <v>152</v>
      </c>
      <c r="B79" s="54" t="s">
        <v>62</v>
      </c>
      <c r="C79" s="106">
        <v>46189</v>
      </c>
      <c r="D79" s="106">
        <v>46387</v>
      </c>
      <c r="E79" s="106">
        <v>46356</v>
      </c>
      <c r="F79" s="105">
        <f t="shared" si="9"/>
        <v>167</v>
      </c>
      <c r="G79" s="132"/>
      <c r="H79" s="118">
        <v>0.2</v>
      </c>
    </row>
    <row r="80" spans="1:8" ht="18">
      <c r="A80" s="105" t="s">
        <v>153</v>
      </c>
      <c r="B80" s="54" t="s">
        <v>61</v>
      </c>
      <c r="C80" s="106">
        <v>46235</v>
      </c>
      <c r="D80" s="106">
        <v>46387</v>
      </c>
      <c r="E80" s="106">
        <v>46371</v>
      </c>
      <c r="F80" s="105">
        <f t="shared" si="9"/>
        <v>136</v>
      </c>
      <c r="G80" s="132"/>
      <c r="H80" s="119">
        <v>0</v>
      </c>
    </row>
    <row r="81" spans="1:8" ht="18">
      <c r="A81" s="105" t="s">
        <v>154</v>
      </c>
      <c r="B81" s="54" t="s">
        <v>155</v>
      </c>
      <c r="C81" s="106">
        <v>46311</v>
      </c>
      <c r="D81" s="106">
        <v>46387</v>
      </c>
      <c r="E81" s="106">
        <v>46402</v>
      </c>
      <c r="F81" s="105">
        <f t="shared" si="9"/>
        <v>91</v>
      </c>
      <c r="G81" s="132"/>
      <c r="H81" s="119">
        <v>0</v>
      </c>
    </row>
    <row r="82" spans="1:8" ht="18">
      <c r="A82" s="105" t="s">
        <v>156</v>
      </c>
      <c r="B82" s="54" t="s">
        <v>60</v>
      </c>
      <c r="C82" s="106">
        <v>46219</v>
      </c>
      <c r="D82" s="106">
        <v>46387</v>
      </c>
      <c r="E82" s="106">
        <v>46310</v>
      </c>
      <c r="F82" s="105">
        <f t="shared" si="9"/>
        <v>91</v>
      </c>
      <c r="G82" s="132"/>
      <c r="H82" s="119">
        <v>0</v>
      </c>
    </row>
    <row r="83" spans="1:8" ht="18">
      <c r="A83" s="105" t="s">
        <v>157</v>
      </c>
      <c r="B83" s="54" t="s">
        <v>91</v>
      </c>
      <c r="C83" s="106">
        <v>46342</v>
      </c>
      <c r="D83" s="106">
        <v>46387</v>
      </c>
      <c r="E83" s="106">
        <v>46402</v>
      </c>
      <c r="F83" s="105">
        <f t="shared" si="9"/>
        <v>60</v>
      </c>
      <c r="G83" s="133"/>
      <c r="H83" s="119">
        <v>0</v>
      </c>
    </row>
    <row r="84" spans="1:8" ht="18">
      <c r="A84" s="56" t="s">
        <v>158</v>
      </c>
      <c r="B84" s="56"/>
      <c r="C84" s="56"/>
      <c r="D84" s="56"/>
      <c r="E84" s="116"/>
      <c r="F84" s="104" t="str">
        <f>ROUNDUP((D89-C85)/30,0) &amp;"MONTHS"</f>
        <v>23MONTHS</v>
      </c>
      <c r="G84" s="131">
        <v>3.53</v>
      </c>
      <c r="H84" s="117">
        <f t="array" ref="H84">SUMPRODUCT(H85:H89/3)</f>
        <v>9.9999999999999992E-2</v>
      </c>
    </row>
    <row r="85" spans="1:8" ht="18">
      <c r="A85" s="105" t="s">
        <v>159</v>
      </c>
      <c r="B85" s="54" t="s">
        <v>59</v>
      </c>
      <c r="C85" s="106">
        <v>46068</v>
      </c>
      <c r="D85" s="106">
        <v>46355</v>
      </c>
      <c r="E85" s="106">
        <v>46355</v>
      </c>
      <c r="F85" s="105">
        <f t="shared" ref="F85:F90" si="10">SUM(D85-C85)</f>
        <v>287</v>
      </c>
      <c r="G85" s="132"/>
      <c r="H85" s="118">
        <v>0.3</v>
      </c>
    </row>
    <row r="86" spans="1:8" ht="18">
      <c r="A86" s="105" t="s">
        <v>160</v>
      </c>
      <c r="B86" s="54" t="s">
        <v>62</v>
      </c>
      <c r="C86" s="106">
        <v>46235</v>
      </c>
      <c r="D86" s="106">
        <v>46736</v>
      </c>
      <c r="E86" s="106">
        <v>46736</v>
      </c>
      <c r="F86" s="105">
        <f t="shared" si="10"/>
        <v>501</v>
      </c>
      <c r="G86" s="132"/>
      <c r="H86" s="119">
        <v>0</v>
      </c>
    </row>
    <row r="87" spans="1:8" ht="18">
      <c r="A87" s="105" t="s">
        <v>161</v>
      </c>
      <c r="B87" s="54" t="s">
        <v>61</v>
      </c>
      <c r="C87" s="106">
        <v>46357</v>
      </c>
      <c r="D87" s="106">
        <v>46752</v>
      </c>
      <c r="E87" s="106">
        <v>46752</v>
      </c>
      <c r="F87" s="105">
        <f t="shared" si="10"/>
        <v>395</v>
      </c>
      <c r="G87" s="132"/>
      <c r="H87" s="119">
        <v>0</v>
      </c>
    </row>
    <row r="88" spans="1:8" ht="18">
      <c r="A88" s="105" t="s">
        <v>162</v>
      </c>
      <c r="B88" s="54" t="s">
        <v>155</v>
      </c>
      <c r="C88" s="106">
        <v>46569</v>
      </c>
      <c r="D88" s="106">
        <v>46752</v>
      </c>
      <c r="E88" s="106">
        <v>46752</v>
      </c>
      <c r="F88" s="105">
        <f t="shared" si="10"/>
        <v>183</v>
      </c>
      <c r="G88" s="132"/>
      <c r="H88" s="119">
        <v>0</v>
      </c>
    </row>
    <row r="89" spans="1:8" ht="18">
      <c r="A89" s="105" t="s">
        <v>163</v>
      </c>
      <c r="B89" s="54" t="s">
        <v>60</v>
      </c>
      <c r="C89" s="106">
        <v>46661</v>
      </c>
      <c r="D89" s="106">
        <v>46752</v>
      </c>
      <c r="E89" s="106">
        <v>46752</v>
      </c>
      <c r="F89" s="105">
        <f t="shared" si="10"/>
        <v>91</v>
      </c>
      <c r="G89" s="132"/>
      <c r="H89" s="119">
        <v>0</v>
      </c>
    </row>
    <row r="90" spans="1:8" ht="18">
      <c r="A90" s="105" t="s">
        <v>164</v>
      </c>
      <c r="B90" s="54" t="s">
        <v>91</v>
      </c>
      <c r="C90" s="106">
        <v>46661</v>
      </c>
      <c r="D90" s="106">
        <v>46736</v>
      </c>
      <c r="E90" s="106">
        <v>46736</v>
      </c>
      <c r="F90" s="105">
        <f t="shared" si="10"/>
        <v>75</v>
      </c>
      <c r="G90" s="133"/>
      <c r="H90" s="119">
        <v>0</v>
      </c>
    </row>
    <row r="91" spans="1:8" ht="18">
      <c r="A91" s="122">
        <v>13</v>
      </c>
      <c r="B91" s="123" t="s">
        <v>165</v>
      </c>
      <c r="C91" s="124">
        <v>45641</v>
      </c>
      <c r="D91" s="124">
        <v>46356</v>
      </c>
      <c r="E91" s="124">
        <v>46356</v>
      </c>
      <c r="F91" s="104" t="str">
        <f>ROUNDUP((D91-C91)/30,0) &amp;"MONTHS"</f>
        <v>24MONTHS</v>
      </c>
      <c r="G91" s="125">
        <v>17.77</v>
      </c>
      <c r="H91" s="126">
        <v>0.7</v>
      </c>
    </row>
    <row r="92" spans="1:8" ht="18">
      <c r="A92" s="122">
        <v>14</v>
      </c>
      <c r="B92" s="123" t="s">
        <v>166</v>
      </c>
      <c r="C92" s="124">
        <v>46077</v>
      </c>
      <c r="D92" s="124">
        <v>46325</v>
      </c>
      <c r="E92" s="124">
        <v>46325</v>
      </c>
      <c r="F92" s="104" t="str">
        <f>ROUNDUP((D92-C92)/30,0) &amp;"MONTHS"</f>
        <v>9MONTHS</v>
      </c>
      <c r="G92" s="125">
        <v>3.23</v>
      </c>
      <c r="H92" s="126">
        <v>0.9</v>
      </c>
    </row>
    <row r="93" spans="1:8" ht="18">
      <c r="A93" s="122">
        <v>15</v>
      </c>
      <c r="B93" s="123" t="s">
        <v>167</v>
      </c>
      <c r="C93" s="124">
        <v>46136</v>
      </c>
      <c r="D93" s="124">
        <v>46386</v>
      </c>
      <c r="E93" s="124">
        <v>46386</v>
      </c>
      <c r="F93" s="104" t="str">
        <f>ROUNDUP((D93-C93)/30,0) &amp;"MONTHS"</f>
        <v>9MONTHS</v>
      </c>
      <c r="G93" s="125">
        <v>1.27</v>
      </c>
      <c r="H93" s="126">
        <v>0.5</v>
      </c>
    </row>
    <row r="94" spans="1:8" ht="18">
      <c r="A94" s="122">
        <v>16</v>
      </c>
      <c r="B94" s="123" t="s">
        <v>63</v>
      </c>
      <c r="C94" s="124">
        <v>45694</v>
      </c>
      <c r="D94" s="124">
        <v>46752</v>
      </c>
      <c r="E94" s="124">
        <v>46752</v>
      </c>
      <c r="F94" s="104" t="str">
        <f>ROUNDUP((D94-C94)/30,0) &amp;"MONTHS"</f>
        <v>36MONTHS</v>
      </c>
      <c r="G94" s="125">
        <v>16</v>
      </c>
      <c r="H94" s="126">
        <v>0.5</v>
      </c>
    </row>
    <row r="95" spans="1:8">
      <c r="A95" s="48"/>
      <c r="B95" s="48"/>
      <c r="C95" s="48"/>
      <c r="D95" s="48"/>
      <c r="E95" s="48"/>
      <c r="F95" s="48"/>
      <c r="G95" s="48"/>
      <c r="H95" s="48"/>
    </row>
  </sheetData>
  <mergeCells count="27">
    <mergeCell ref="A77:D77"/>
    <mergeCell ref="A84:D84"/>
    <mergeCell ref="G14:G20"/>
    <mergeCell ref="G21:G27"/>
    <mergeCell ref="G28:G34"/>
    <mergeCell ref="G35:G41"/>
    <mergeCell ref="G42:G48"/>
    <mergeCell ref="G49:G55"/>
    <mergeCell ref="G56:G62"/>
    <mergeCell ref="G63:G69"/>
    <mergeCell ref="G70:G76"/>
    <mergeCell ref="G77:G83"/>
    <mergeCell ref="G84:G90"/>
    <mergeCell ref="A42:D42"/>
    <mergeCell ref="A49:D49"/>
    <mergeCell ref="A56:D56"/>
    <mergeCell ref="A63:D63"/>
    <mergeCell ref="A70:D70"/>
    <mergeCell ref="A8:D8"/>
    <mergeCell ref="A14:D14"/>
    <mergeCell ref="A21:D21"/>
    <mergeCell ref="A28:D28"/>
    <mergeCell ref="A35:D35"/>
    <mergeCell ref="A1:H1"/>
    <mergeCell ref="A3:F3"/>
    <mergeCell ref="G3:G4"/>
    <mergeCell ref="H3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ADADB-A914-48B4-A93D-47F78BEAFA19}">
  <dimension ref="A1:M74"/>
  <sheetViews>
    <sheetView tabSelected="1" zoomScale="70" zoomScaleNormal="70" workbookViewId="0">
      <selection activeCell="K15" sqref="K15"/>
    </sheetView>
  </sheetViews>
  <sheetFormatPr defaultRowHeight="14.4"/>
  <cols>
    <col min="1" max="1" width="19.109375" customWidth="1"/>
    <col min="2" max="2" width="22.21875" customWidth="1"/>
    <col min="3" max="3" width="27.33203125" customWidth="1"/>
    <col min="4" max="4" width="28.44140625" customWidth="1"/>
    <col min="5" max="5" width="21.5546875" customWidth="1"/>
    <col min="6" max="6" width="24.6640625" customWidth="1"/>
    <col min="7" max="7" width="16" customWidth="1"/>
    <col min="8" max="8" width="15.21875" customWidth="1"/>
    <col min="9" max="9" width="24.5546875" customWidth="1"/>
    <col min="10" max="10" width="22.33203125" customWidth="1"/>
    <col min="11" max="11" width="12.6640625" customWidth="1"/>
    <col min="12" max="12" width="14" customWidth="1"/>
    <col min="13" max="13" width="22.44140625" customWidth="1"/>
  </cols>
  <sheetData>
    <row r="1" spans="1:13" ht="17.399999999999999" thickBot="1">
      <c r="A1" s="36">
        <v>46264</v>
      </c>
      <c r="B1" s="1"/>
    </row>
    <row r="2" spans="1:13" ht="52.8" customHeight="1" thickBot="1">
      <c r="A2" s="154"/>
      <c r="B2" s="51" t="s">
        <v>38</v>
      </c>
      <c r="C2" s="37" t="s">
        <v>44</v>
      </c>
      <c r="D2" s="38"/>
      <c r="E2" s="37" t="s">
        <v>45</v>
      </c>
      <c r="F2" s="39"/>
      <c r="G2" s="40" t="s">
        <v>39</v>
      </c>
      <c r="H2" s="41" t="s">
        <v>40</v>
      </c>
      <c r="I2" s="42"/>
      <c r="J2" s="44" t="s">
        <v>43</v>
      </c>
      <c r="K2" s="45" t="s">
        <v>50</v>
      </c>
      <c r="L2" s="45" t="s">
        <v>65</v>
      </c>
      <c r="M2" s="45" t="s">
        <v>66</v>
      </c>
    </row>
    <row r="3" spans="1:13" ht="35.4" customHeight="1">
      <c r="A3" s="153"/>
      <c r="B3" s="67"/>
      <c r="C3" s="3" t="s">
        <v>41</v>
      </c>
      <c r="D3" s="3" t="s">
        <v>42</v>
      </c>
      <c r="E3" s="3" t="s">
        <v>41</v>
      </c>
      <c r="F3" s="4" t="s">
        <v>42</v>
      </c>
      <c r="G3" s="68"/>
      <c r="H3" s="5" t="s">
        <v>41</v>
      </c>
      <c r="I3" s="6" t="s">
        <v>42</v>
      </c>
      <c r="J3" s="69"/>
      <c r="K3" s="70"/>
      <c r="L3" s="70"/>
      <c r="M3" s="70"/>
    </row>
    <row r="4" spans="1:13" ht="27" customHeight="1">
      <c r="A4" s="80" t="s">
        <v>37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</row>
    <row r="5" spans="1:13" ht="18">
      <c r="A5" s="71">
        <v>1</v>
      </c>
      <c r="B5" s="72" t="s">
        <v>0</v>
      </c>
      <c r="C5" s="73">
        <v>45703</v>
      </c>
      <c r="D5" s="73">
        <v>45765</v>
      </c>
      <c r="E5" s="73">
        <v>46067</v>
      </c>
      <c r="F5" s="74">
        <v>46234</v>
      </c>
      <c r="G5" s="75">
        <f t="shared" ref="G5:G11" si="0">(F5-D5)/30</f>
        <v>15.633333333333333</v>
      </c>
      <c r="H5" s="76">
        <v>1</v>
      </c>
      <c r="I5" s="77">
        <v>0.95</v>
      </c>
      <c r="J5" s="78">
        <f t="shared" ref="J5:J19" si="1">(F5-$A$1)/30</f>
        <v>-1</v>
      </c>
      <c r="K5" s="79" t="s">
        <v>49</v>
      </c>
      <c r="L5" s="89">
        <f>(H5-I5)</f>
        <v>5.0000000000000044E-2</v>
      </c>
      <c r="M5" s="90">
        <f>L5*G5</f>
        <v>0.78166666666666729</v>
      </c>
    </row>
    <row r="6" spans="1:13" ht="18">
      <c r="A6" s="2">
        <v>2</v>
      </c>
      <c r="B6" s="28" t="s">
        <v>1</v>
      </c>
      <c r="C6" s="8">
        <v>45731</v>
      </c>
      <c r="D6" s="8">
        <v>45764</v>
      </c>
      <c r="E6" s="8">
        <v>46095</v>
      </c>
      <c r="F6" s="8">
        <v>46306</v>
      </c>
      <c r="G6" s="9">
        <f t="shared" si="0"/>
        <v>18.066666666666666</v>
      </c>
      <c r="H6" s="10">
        <v>1</v>
      </c>
      <c r="I6" s="11">
        <v>0.85</v>
      </c>
      <c r="J6" s="7">
        <f t="shared" si="1"/>
        <v>1.4</v>
      </c>
      <c r="K6" s="46" t="s">
        <v>49</v>
      </c>
      <c r="L6" s="84">
        <f t="shared" ref="L6:L17" si="2">(H6-I6)</f>
        <v>0.15000000000000002</v>
      </c>
      <c r="M6" s="81">
        <f t="shared" ref="M6:M17" si="3">L6*G6</f>
        <v>2.7100000000000004</v>
      </c>
    </row>
    <row r="7" spans="1:13" ht="18" customHeight="1">
      <c r="A7" s="2">
        <v>3</v>
      </c>
      <c r="B7" s="27" t="s">
        <v>2</v>
      </c>
      <c r="C7" s="12">
        <v>45712</v>
      </c>
      <c r="D7" s="12">
        <v>45762</v>
      </c>
      <c r="E7" s="12">
        <v>46076</v>
      </c>
      <c r="F7" s="8">
        <v>46265</v>
      </c>
      <c r="G7" s="9">
        <f t="shared" si="0"/>
        <v>16.766666666666666</v>
      </c>
      <c r="H7" s="13">
        <v>1</v>
      </c>
      <c r="I7" s="14">
        <v>0.92</v>
      </c>
      <c r="J7" s="7">
        <f t="shared" si="1"/>
        <v>3.3333333333333333E-2</v>
      </c>
      <c r="K7" s="46" t="s">
        <v>49</v>
      </c>
      <c r="L7" s="84">
        <f t="shared" si="2"/>
        <v>7.999999999999996E-2</v>
      </c>
      <c r="M7" s="81">
        <f t="shared" si="3"/>
        <v>1.3413333333333326</v>
      </c>
    </row>
    <row r="8" spans="1:13" ht="18" customHeight="1">
      <c r="A8" s="2">
        <v>4</v>
      </c>
      <c r="B8" s="27" t="s">
        <v>5</v>
      </c>
      <c r="C8" s="12">
        <v>45801</v>
      </c>
      <c r="D8" s="12">
        <v>45797</v>
      </c>
      <c r="E8" s="12">
        <v>46165</v>
      </c>
      <c r="F8" s="8">
        <v>46325</v>
      </c>
      <c r="G8" s="9">
        <f t="shared" si="0"/>
        <v>17.600000000000001</v>
      </c>
      <c r="H8" s="13">
        <v>1</v>
      </c>
      <c r="I8" s="14">
        <v>0.6</v>
      </c>
      <c r="J8" s="7">
        <f t="shared" si="1"/>
        <v>2.0333333333333332</v>
      </c>
      <c r="K8" s="46" t="s">
        <v>49</v>
      </c>
      <c r="L8" s="84">
        <f t="shared" si="2"/>
        <v>0.4</v>
      </c>
      <c r="M8" s="81">
        <f t="shared" si="3"/>
        <v>7.0400000000000009</v>
      </c>
    </row>
    <row r="9" spans="1:13" ht="18">
      <c r="A9" s="2">
        <v>5</v>
      </c>
      <c r="B9" s="29" t="s">
        <v>6</v>
      </c>
      <c r="C9" s="12">
        <v>45862</v>
      </c>
      <c r="D9" s="12">
        <v>45973</v>
      </c>
      <c r="E9" s="12">
        <v>46226</v>
      </c>
      <c r="F9" s="8">
        <v>46356</v>
      </c>
      <c r="G9" s="15">
        <f t="shared" si="0"/>
        <v>12.766666666666667</v>
      </c>
      <c r="H9" s="13">
        <v>1</v>
      </c>
      <c r="I9" s="13">
        <v>0.5</v>
      </c>
      <c r="J9" s="16">
        <f t="shared" si="1"/>
        <v>3.0666666666666669</v>
      </c>
      <c r="K9" s="46" t="s">
        <v>49</v>
      </c>
      <c r="L9" s="84">
        <f t="shared" si="2"/>
        <v>0.5</v>
      </c>
      <c r="M9" s="81">
        <f t="shared" si="3"/>
        <v>6.3833333333333337</v>
      </c>
    </row>
    <row r="10" spans="1:13" ht="18">
      <c r="A10" s="2">
        <v>6</v>
      </c>
      <c r="B10" s="29" t="s">
        <v>7</v>
      </c>
      <c r="C10" s="17">
        <v>45753</v>
      </c>
      <c r="D10" s="17">
        <v>45797</v>
      </c>
      <c r="E10" s="17">
        <v>46117</v>
      </c>
      <c r="F10" s="18">
        <v>46356</v>
      </c>
      <c r="G10" s="15">
        <f t="shared" si="0"/>
        <v>18.633333333333333</v>
      </c>
      <c r="H10" s="13">
        <v>1</v>
      </c>
      <c r="I10" s="13">
        <v>0.6</v>
      </c>
      <c r="J10" s="16">
        <f t="shared" si="1"/>
        <v>3.0666666666666669</v>
      </c>
      <c r="K10" s="46" t="s">
        <v>49</v>
      </c>
      <c r="L10" s="84">
        <f t="shared" si="2"/>
        <v>0.4</v>
      </c>
      <c r="M10" s="81">
        <f t="shared" si="3"/>
        <v>7.4533333333333331</v>
      </c>
    </row>
    <row r="11" spans="1:13" ht="18">
      <c r="A11" s="2">
        <v>7</v>
      </c>
      <c r="B11" s="29" t="s">
        <v>8</v>
      </c>
      <c r="C11" s="17">
        <v>45893</v>
      </c>
      <c r="D11" s="17">
        <v>45979</v>
      </c>
      <c r="E11" s="17">
        <v>46257</v>
      </c>
      <c r="F11" s="18">
        <v>46387</v>
      </c>
      <c r="G11" s="15">
        <f t="shared" si="0"/>
        <v>13.6</v>
      </c>
      <c r="H11" s="13">
        <v>0.95</v>
      </c>
      <c r="I11" s="13">
        <v>0.45</v>
      </c>
      <c r="J11" s="16">
        <f t="shared" si="1"/>
        <v>4.0999999999999996</v>
      </c>
      <c r="K11" s="46" t="s">
        <v>49</v>
      </c>
      <c r="L11" s="84">
        <f t="shared" si="2"/>
        <v>0.49999999999999994</v>
      </c>
      <c r="M11" s="81">
        <f t="shared" si="3"/>
        <v>6.7999999999999989</v>
      </c>
    </row>
    <row r="12" spans="1:13" ht="18">
      <c r="A12" s="2">
        <v>8</v>
      </c>
      <c r="B12" s="29" t="s">
        <v>11</v>
      </c>
      <c r="C12" s="17">
        <v>45893</v>
      </c>
      <c r="D12" s="17">
        <v>45978</v>
      </c>
      <c r="E12" s="17">
        <v>46257</v>
      </c>
      <c r="F12" s="18">
        <v>46446</v>
      </c>
      <c r="G12" s="15">
        <f t="shared" ref="G12:G22" si="4">(F12-D12)/30</f>
        <v>15.6</v>
      </c>
      <c r="H12" s="13">
        <v>0.95</v>
      </c>
      <c r="I12" s="13">
        <v>0.4</v>
      </c>
      <c r="J12" s="15">
        <f t="shared" si="1"/>
        <v>6.0666666666666664</v>
      </c>
      <c r="K12" s="46" t="s">
        <v>49</v>
      </c>
      <c r="L12" s="84">
        <f t="shared" si="2"/>
        <v>0.54999999999999993</v>
      </c>
      <c r="M12" s="81">
        <f t="shared" si="3"/>
        <v>8.5799999999999983</v>
      </c>
    </row>
    <row r="13" spans="1:13" ht="18">
      <c r="A13" s="2">
        <v>9</v>
      </c>
      <c r="B13" s="29" t="s">
        <v>12</v>
      </c>
      <c r="C13" s="17">
        <v>45884</v>
      </c>
      <c r="D13" s="17">
        <v>45979</v>
      </c>
      <c r="E13" s="17">
        <v>46248</v>
      </c>
      <c r="F13" s="18">
        <v>46446</v>
      </c>
      <c r="G13" s="15">
        <f t="shared" si="4"/>
        <v>15.566666666666666</v>
      </c>
      <c r="H13" s="13">
        <v>0.95</v>
      </c>
      <c r="I13" s="13">
        <v>0.35</v>
      </c>
      <c r="J13" s="15">
        <f t="shared" si="1"/>
        <v>6.0666666666666664</v>
      </c>
      <c r="K13" s="46" t="s">
        <v>49</v>
      </c>
      <c r="L13" s="84">
        <f t="shared" si="2"/>
        <v>0.6</v>
      </c>
      <c r="M13" s="81">
        <f t="shared" si="3"/>
        <v>9.34</v>
      </c>
    </row>
    <row r="14" spans="1:13" ht="18">
      <c r="A14" s="2">
        <v>10</v>
      </c>
      <c r="B14" s="27" t="s">
        <v>13</v>
      </c>
      <c r="C14" s="12">
        <v>45832</v>
      </c>
      <c r="D14" s="12">
        <v>45972</v>
      </c>
      <c r="E14" s="12">
        <v>46196</v>
      </c>
      <c r="F14" s="8">
        <v>46446</v>
      </c>
      <c r="G14" s="9">
        <f t="shared" si="4"/>
        <v>15.8</v>
      </c>
      <c r="H14" s="13">
        <v>1</v>
      </c>
      <c r="I14" s="14">
        <v>0.38</v>
      </c>
      <c r="J14" s="9">
        <f t="shared" si="1"/>
        <v>6.0666666666666664</v>
      </c>
      <c r="K14" s="46" t="s">
        <v>49</v>
      </c>
      <c r="L14" s="84">
        <f t="shared" si="2"/>
        <v>0.62</v>
      </c>
      <c r="M14" s="81">
        <f t="shared" si="3"/>
        <v>9.7960000000000012</v>
      </c>
    </row>
    <row r="15" spans="1:13" ht="18">
      <c r="A15" s="2">
        <v>11</v>
      </c>
      <c r="B15" s="27" t="s">
        <v>14</v>
      </c>
      <c r="C15" s="12">
        <v>45906</v>
      </c>
      <c r="D15" s="12">
        <v>46007</v>
      </c>
      <c r="E15" s="12">
        <v>46270</v>
      </c>
      <c r="F15" s="8">
        <v>46507</v>
      </c>
      <c r="G15" s="9">
        <f t="shared" si="4"/>
        <v>16.666666666666668</v>
      </c>
      <c r="H15" s="13">
        <v>0.9</v>
      </c>
      <c r="I15" s="14">
        <v>0.3</v>
      </c>
      <c r="J15" s="9">
        <f t="shared" si="1"/>
        <v>8.1</v>
      </c>
      <c r="K15" s="46" t="s">
        <v>49</v>
      </c>
      <c r="L15" s="84">
        <f t="shared" si="2"/>
        <v>0.60000000000000009</v>
      </c>
      <c r="M15" s="81">
        <f t="shared" si="3"/>
        <v>10.000000000000002</v>
      </c>
    </row>
    <row r="16" spans="1:13" ht="18">
      <c r="A16" s="2">
        <v>12</v>
      </c>
      <c r="B16" s="27" t="s">
        <v>16</v>
      </c>
      <c r="C16" s="12">
        <v>46077</v>
      </c>
      <c r="D16" s="12">
        <v>46073</v>
      </c>
      <c r="E16" s="12">
        <v>46441</v>
      </c>
      <c r="F16" s="8">
        <v>46568</v>
      </c>
      <c r="G16" s="9">
        <f t="shared" si="4"/>
        <v>16.5</v>
      </c>
      <c r="H16" s="13">
        <v>0.4</v>
      </c>
      <c r="I16" s="14">
        <v>0.2</v>
      </c>
      <c r="J16" s="9">
        <f t="shared" si="1"/>
        <v>10.133333333333333</v>
      </c>
      <c r="K16" s="46" t="s">
        <v>49</v>
      </c>
      <c r="L16" s="84">
        <f t="shared" si="2"/>
        <v>0.2</v>
      </c>
      <c r="M16" s="81">
        <f t="shared" si="3"/>
        <v>3.3000000000000003</v>
      </c>
    </row>
    <row r="17" spans="1:13" ht="18">
      <c r="A17" s="2">
        <v>13</v>
      </c>
      <c r="B17" s="27" t="s">
        <v>17</v>
      </c>
      <c r="C17" s="12">
        <v>46073</v>
      </c>
      <c r="D17" s="12">
        <v>46073</v>
      </c>
      <c r="E17" s="12">
        <v>46437</v>
      </c>
      <c r="F17" s="8">
        <v>46568</v>
      </c>
      <c r="G17" s="9">
        <f t="shared" si="4"/>
        <v>16.5</v>
      </c>
      <c r="H17" s="13">
        <v>0.4</v>
      </c>
      <c r="I17" s="14">
        <v>0.15</v>
      </c>
      <c r="J17" s="9">
        <f t="shared" si="1"/>
        <v>10.133333333333333</v>
      </c>
      <c r="K17" s="46" t="s">
        <v>49</v>
      </c>
      <c r="L17" s="84">
        <f t="shared" si="2"/>
        <v>0.25</v>
      </c>
      <c r="M17" s="81">
        <f t="shared" si="3"/>
        <v>4.125</v>
      </c>
    </row>
    <row r="18" spans="1:13" ht="18">
      <c r="A18" s="2">
        <v>14</v>
      </c>
      <c r="B18" s="27" t="s">
        <v>23</v>
      </c>
      <c r="C18" s="12">
        <v>46118</v>
      </c>
      <c r="D18" s="12">
        <v>46163</v>
      </c>
      <c r="E18" s="12">
        <v>46482</v>
      </c>
      <c r="F18" s="8">
        <v>46599</v>
      </c>
      <c r="G18" s="9">
        <f t="shared" si="4"/>
        <v>14.533333333333333</v>
      </c>
      <c r="H18" s="13" t="s">
        <v>46</v>
      </c>
      <c r="I18" s="14">
        <v>0.15</v>
      </c>
      <c r="J18" s="7">
        <f t="shared" si="1"/>
        <v>11.166666666666666</v>
      </c>
      <c r="K18" s="46" t="s">
        <v>48</v>
      </c>
      <c r="L18" s="91"/>
      <c r="M18" s="92"/>
    </row>
    <row r="19" spans="1:13" ht="18">
      <c r="A19" s="2">
        <v>15</v>
      </c>
      <c r="B19" s="27" t="s">
        <v>26</v>
      </c>
      <c r="C19" s="12">
        <v>46148</v>
      </c>
      <c r="D19" s="12">
        <v>46163</v>
      </c>
      <c r="E19" s="12">
        <v>46604</v>
      </c>
      <c r="F19" s="8">
        <v>46691</v>
      </c>
      <c r="G19" s="9">
        <f t="shared" si="4"/>
        <v>17.600000000000001</v>
      </c>
      <c r="H19" s="13" t="s">
        <v>46</v>
      </c>
      <c r="I19" s="14">
        <v>0.15</v>
      </c>
      <c r="J19" s="9">
        <f t="shared" si="1"/>
        <v>14.233333333333333</v>
      </c>
      <c r="K19" s="46" t="s">
        <v>48</v>
      </c>
      <c r="L19" s="21"/>
      <c r="M19" s="50"/>
    </row>
    <row r="20" spans="1:13" ht="18">
      <c r="A20" s="2">
        <v>16</v>
      </c>
      <c r="B20" s="30" t="s">
        <v>30</v>
      </c>
      <c r="C20" s="19">
        <v>46295</v>
      </c>
      <c r="D20" s="19"/>
      <c r="E20" s="19">
        <v>46842</v>
      </c>
      <c r="F20" s="8"/>
      <c r="G20" s="15"/>
      <c r="H20" s="10"/>
      <c r="I20" s="20"/>
      <c r="J20" s="9"/>
      <c r="K20" s="46" t="s">
        <v>51</v>
      </c>
      <c r="L20" s="21"/>
      <c r="M20" s="50"/>
    </row>
    <row r="21" spans="1:13" ht="18">
      <c r="A21" s="2">
        <v>17</v>
      </c>
      <c r="B21" s="30" t="s">
        <v>31</v>
      </c>
      <c r="C21" s="19">
        <v>46295</v>
      </c>
      <c r="D21" s="19"/>
      <c r="E21" s="19">
        <v>46842</v>
      </c>
      <c r="F21" s="8"/>
      <c r="G21" s="15"/>
      <c r="H21" s="10"/>
      <c r="I21" s="20"/>
      <c r="J21" s="9"/>
      <c r="K21" s="46" t="s">
        <v>51</v>
      </c>
      <c r="L21" s="21"/>
      <c r="M21" s="50"/>
    </row>
    <row r="22" spans="1:13" ht="18">
      <c r="A22" s="2">
        <v>18</v>
      </c>
      <c r="B22" s="30" t="s">
        <v>32</v>
      </c>
      <c r="C22" s="19">
        <v>46280</v>
      </c>
      <c r="D22" s="19"/>
      <c r="E22" s="19">
        <v>46735</v>
      </c>
      <c r="F22" s="8"/>
      <c r="G22" s="15"/>
      <c r="H22" s="10"/>
      <c r="I22" s="20"/>
      <c r="J22" s="9"/>
      <c r="K22" s="46" t="s">
        <v>51</v>
      </c>
      <c r="L22" s="21"/>
      <c r="M22" s="50"/>
    </row>
    <row r="23" spans="1:13" ht="18">
      <c r="A23" s="2">
        <v>19</v>
      </c>
      <c r="B23" s="30" t="s">
        <v>33</v>
      </c>
      <c r="C23" s="19">
        <v>46280</v>
      </c>
      <c r="D23" s="19"/>
      <c r="E23" s="19">
        <v>46826</v>
      </c>
      <c r="F23" s="8"/>
      <c r="G23" s="9"/>
      <c r="H23" s="10"/>
      <c r="I23" s="20"/>
      <c r="J23" s="9"/>
      <c r="K23" s="46" t="s">
        <v>51</v>
      </c>
      <c r="L23" s="21"/>
      <c r="M23" s="50"/>
    </row>
    <row r="24" spans="1:13" ht="18" customHeight="1">
      <c r="A24" s="63" t="s">
        <v>36</v>
      </c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5"/>
    </row>
    <row r="25" spans="1:13" ht="18">
      <c r="A25" s="31">
        <v>1</v>
      </c>
      <c r="B25" s="30" t="s">
        <v>3</v>
      </c>
      <c r="C25" s="19">
        <v>45712</v>
      </c>
      <c r="D25" s="19">
        <v>45792</v>
      </c>
      <c r="E25" s="19">
        <v>46076</v>
      </c>
      <c r="F25" s="8">
        <v>46295</v>
      </c>
      <c r="G25" s="9">
        <f t="shared" ref="G25:G39" si="5">(F25-D25)/30</f>
        <v>16.766666666666666</v>
      </c>
      <c r="H25" s="10">
        <v>1</v>
      </c>
      <c r="I25" s="20">
        <v>0.9</v>
      </c>
      <c r="J25" s="7">
        <f t="shared" ref="J25:J39" si="6">(F25-$A$1)/30</f>
        <v>1.0333333333333334</v>
      </c>
      <c r="K25" s="47" t="s">
        <v>49</v>
      </c>
      <c r="L25" s="84">
        <f>H25-I25</f>
        <v>9.9999999999999978E-2</v>
      </c>
      <c r="M25" s="81">
        <f>L25*G25</f>
        <v>1.6766666666666663</v>
      </c>
    </row>
    <row r="26" spans="1:13" ht="18">
      <c r="A26" s="31">
        <v>2</v>
      </c>
      <c r="B26" s="30" t="s">
        <v>4</v>
      </c>
      <c r="C26" s="19">
        <v>45814</v>
      </c>
      <c r="D26" s="19">
        <v>45814</v>
      </c>
      <c r="E26" s="19">
        <v>46178</v>
      </c>
      <c r="F26" s="8">
        <v>46310</v>
      </c>
      <c r="G26" s="9">
        <f t="shared" si="5"/>
        <v>16.533333333333335</v>
      </c>
      <c r="H26" s="10">
        <v>1</v>
      </c>
      <c r="I26" s="20">
        <v>0.85</v>
      </c>
      <c r="J26" s="7">
        <f t="shared" si="6"/>
        <v>1.5333333333333334</v>
      </c>
      <c r="K26" s="47" t="s">
        <v>49</v>
      </c>
      <c r="L26" s="84">
        <f t="shared" ref="L26:L33" si="7">H26-I26</f>
        <v>0.15000000000000002</v>
      </c>
      <c r="M26" s="81">
        <f t="shared" ref="M26:M29" si="8">L26*G26</f>
        <v>2.4800000000000004</v>
      </c>
    </row>
    <row r="27" spans="1:13" ht="18">
      <c r="A27" s="31">
        <v>3</v>
      </c>
      <c r="B27" s="30" t="s">
        <v>9</v>
      </c>
      <c r="C27" s="19">
        <v>45823</v>
      </c>
      <c r="D27" s="19">
        <v>45817</v>
      </c>
      <c r="E27" s="19">
        <v>46187</v>
      </c>
      <c r="F27" s="8">
        <v>46387</v>
      </c>
      <c r="G27" s="9">
        <f t="shared" si="5"/>
        <v>19</v>
      </c>
      <c r="H27" s="10">
        <v>1</v>
      </c>
      <c r="I27" s="20">
        <v>0.75</v>
      </c>
      <c r="J27" s="7">
        <f t="shared" si="6"/>
        <v>4.0999999999999996</v>
      </c>
      <c r="K27" s="47" t="s">
        <v>49</v>
      </c>
      <c r="L27" s="84">
        <f t="shared" si="7"/>
        <v>0.25</v>
      </c>
      <c r="M27" s="81">
        <f t="shared" si="8"/>
        <v>4.75</v>
      </c>
    </row>
    <row r="28" spans="1:13" ht="18">
      <c r="A28" s="31">
        <v>4</v>
      </c>
      <c r="B28" s="30" t="s">
        <v>10</v>
      </c>
      <c r="C28" s="19">
        <v>45832</v>
      </c>
      <c r="D28" s="19">
        <v>45984</v>
      </c>
      <c r="E28" s="19">
        <v>46196</v>
      </c>
      <c r="F28" s="8">
        <v>46433</v>
      </c>
      <c r="G28" s="9">
        <f t="shared" si="5"/>
        <v>14.966666666666667</v>
      </c>
      <c r="H28" s="10">
        <v>1</v>
      </c>
      <c r="I28" s="20">
        <v>0.5</v>
      </c>
      <c r="J28" s="9">
        <f t="shared" si="6"/>
        <v>5.6333333333333337</v>
      </c>
      <c r="K28" s="47" t="s">
        <v>49</v>
      </c>
      <c r="L28" s="84">
        <f t="shared" si="7"/>
        <v>0.5</v>
      </c>
      <c r="M28" s="81">
        <f t="shared" si="8"/>
        <v>7.4833333333333334</v>
      </c>
    </row>
    <row r="29" spans="1:13" ht="18">
      <c r="A29" s="31">
        <v>5</v>
      </c>
      <c r="B29" s="32" t="s">
        <v>47</v>
      </c>
      <c r="C29" s="19">
        <v>45814</v>
      </c>
      <c r="D29" s="19">
        <v>45792</v>
      </c>
      <c r="E29" s="19">
        <v>46239</v>
      </c>
      <c r="F29" s="8">
        <v>46477</v>
      </c>
      <c r="G29" s="9">
        <f t="shared" si="5"/>
        <v>22.833333333333332</v>
      </c>
      <c r="H29" s="10">
        <v>1</v>
      </c>
      <c r="I29" s="20">
        <v>0.6</v>
      </c>
      <c r="J29" s="9">
        <f t="shared" si="6"/>
        <v>7.1</v>
      </c>
      <c r="K29" s="47" t="s">
        <v>49</v>
      </c>
      <c r="L29" s="84">
        <f t="shared" si="7"/>
        <v>0.4</v>
      </c>
      <c r="M29" s="81">
        <f t="shared" si="8"/>
        <v>9.1333333333333329</v>
      </c>
    </row>
    <row r="30" spans="1:13" ht="18">
      <c r="A30" s="31">
        <v>6</v>
      </c>
      <c r="B30" s="30" t="s">
        <v>15</v>
      </c>
      <c r="C30" s="19">
        <v>46136</v>
      </c>
      <c r="D30" s="19">
        <v>46155</v>
      </c>
      <c r="E30" s="8">
        <v>46500</v>
      </c>
      <c r="F30" s="8">
        <v>46538</v>
      </c>
      <c r="G30" s="9">
        <f t="shared" si="5"/>
        <v>12.766666666666667</v>
      </c>
      <c r="H30" s="10" t="s">
        <v>46</v>
      </c>
      <c r="I30" s="20">
        <v>0.2</v>
      </c>
      <c r="J30" s="9">
        <f t="shared" si="6"/>
        <v>9.1333333333333329</v>
      </c>
      <c r="K30" s="47" t="s">
        <v>48</v>
      </c>
      <c r="L30" s="84"/>
      <c r="M30" s="81"/>
    </row>
    <row r="31" spans="1:13" ht="18">
      <c r="A31" s="31">
        <v>7</v>
      </c>
      <c r="B31" s="30" t="s">
        <v>18</v>
      </c>
      <c r="C31" s="19">
        <v>46136</v>
      </c>
      <c r="D31" s="19">
        <v>46155</v>
      </c>
      <c r="E31" s="19">
        <v>46500</v>
      </c>
      <c r="F31" s="8">
        <v>46568</v>
      </c>
      <c r="G31" s="9">
        <f t="shared" si="5"/>
        <v>13.766666666666667</v>
      </c>
      <c r="H31" s="10" t="s">
        <v>46</v>
      </c>
      <c r="I31" s="20">
        <v>0.2</v>
      </c>
      <c r="J31" s="9">
        <f t="shared" si="6"/>
        <v>10.133333333333333</v>
      </c>
      <c r="K31" s="47" t="s">
        <v>48</v>
      </c>
      <c r="L31" s="84"/>
      <c r="M31" s="81"/>
    </row>
    <row r="32" spans="1:13" ht="18">
      <c r="A32" s="31">
        <v>8</v>
      </c>
      <c r="B32" s="27" t="s">
        <v>19</v>
      </c>
      <c r="C32" s="19">
        <v>46043</v>
      </c>
      <c r="D32" s="19">
        <v>46043</v>
      </c>
      <c r="E32" s="19">
        <v>46407</v>
      </c>
      <c r="F32" s="8">
        <v>46568</v>
      </c>
      <c r="G32" s="9">
        <f t="shared" si="5"/>
        <v>17.5</v>
      </c>
      <c r="H32" s="10">
        <v>0.5</v>
      </c>
      <c r="I32" s="20">
        <v>0.3</v>
      </c>
      <c r="J32" s="9">
        <f t="shared" si="6"/>
        <v>10.133333333333333</v>
      </c>
      <c r="K32" s="47" t="s">
        <v>49</v>
      </c>
      <c r="L32" s="84">
        <f t="shared" si="7"/>
        <v>0.2</v>
      </c>
      <c r="M32" s="81">
        <f>L32*G32</f>
        <v>3.5</v>
      </c>
    </row>
    <row r="33" spans="1:13" ht="18">
      <c r="A33" s="31">
        <v>9</v>
      </c>
      <c r="B33" s="30" t="s">
        <v>20</v>
      </c>
      <c r="C33" s="19">
        <v>45712</v>
      </c>
      <c r="D33" s="19">
        <v>45790</v>
      </c>
      <c r="E33" s="19">
        <v>46076</v>
      </c>
      <c r="F33" s="8">
        <v>46568</v>
      </c>
      <c r="G33" s="9">
        <f t="shared" si="5"/>
        <v>25.933333333333334</v>
      </c>
      <c r="H33" s="10">
        <v>1</v>
      </c>
      <c r="I33" s="20">
        <v>0.4</v>
      </c>
      <c r="J33" s="9">
        <f t="shared" si="6"/>
        <v>10.133333333333333</v>
      </c>
      <c r="K33" s="47" t="s">
        <v>49</v>
      </c>
      <c r="L33" s="84">
        <f t="shared" si="7"/>
        <v>0.6</v>
      </c>
      <c r="M33" s="81">
        <f>L33*G33</f>
        <v>15.559999999999999</v>
      </c>
    </row>
    <row r="34" spans="1:13" ht="18">
      <c r="A34" s="31">
        <v>10</v>
      </c>
      <c r="B34" s="30" t="s">
        <v>21</v>
      </c>
      <c r="C34" s="19">
        <v>46127</v>
      </c>
      <c r="D34" s="19">
        <v>46144</v>
      </c>
      <c r="E34" s="19">
        <v>46582</v>
      </c>
      <c r="F34" s="8">
        <v>46599</v>
      </c>
      <c r="G34" s="9">
        <f t="shared" si="5"/>
        <v>15.166666666666666</v>
      </c>
      <c r="H34" s="10" t="s">
        <v>46</v>
      </c>
      <c r="I34" s="20">
        <v>0.2</v>
      </c>
      <c r="J34" s="9">
        <f t="shared" si="6"/>
        <v>11.166666666666666</v>
      </c>
      <c r="K34" s="43" t="s">
        <v>48</v>
      </c>
      <c r="L34" s="85"/>
      <c r="M34" s="82"/>
    </row>
    <row r="35" spans="1:13" ht="18">
      <c r="A35" s="31">
        <v>11</v>
      </c>
      <c r="B35" s="30" t="s">
        <v>22</v>
      </c>
      <c r="C35" s="19">
        <v>46118</v>
      </c>
      <c r="D35" s="19">
        <v>46159</v>
      </c>
      <c r="E35" s="19">
        <v>46482</v>
      </c>
      <c r="F35" s="8">
        <v>46599</v>
      </c>
      <c r="G35" s="9">
        <f t="shared" si="5"/>
        <v>14.666666666666666</v>
      </c>
      <c r="H35" s="10" t="s">
        <v>46</v>
      </c>
      <c r="I35" s="20">
        <v>0.05</v>
      </c>
      <c r="J35" s="9">
        <f t="shared" si="6"/>
        <v>11.166666666666666</v>
      </c>
      <c r="K35" s="43" t="s">
        <v>48</v>
      </c>
      <c r="L35" s="85"/>
      <c r="M35" s="82"/>
    </row>
    <row r="36" spans="1:13" ht="18">
      <c r="A36" s="31">
        <v>12</v>
      </c>
      <c r="B36" s="30" t="s">
        <v>24</v>
      </c>
      <c r="C36" s="19">
        <v>46068</v>
      </c>
      <c r="D36" s="19">
        <v>46073</v>
      </c>
      <c r="E36" s="19">
        <v>46432</v>
      </c>
      <c r="F36" s="8">
        <v>46599</v>
      </c>
      <c r="G36" s="9">
        <f t="shared" si="5"/>
        <v>17.533333333333335</v>
      </c>
      <c r="H36" s="10" t="s">
        <v>46</v>
      </c>
      <c r="I36" s="20">
        <v>0.2</v>
      </c>
      <c r="J36" s="9">
        <f t="shared" si="6"/>
        <v>11.166666666666666</v>
      </c>
      <c r="K36" s="43" t="s">
        <v>48</v>
      </c>
      <c r="L36" s="85"/>
      <c r="M36" s="82"/>
    </row>
    <row r="37" spans="1:13" ht="18">
      <c r="A37" s="31">
        <v>13</v>
      </c>
      <c r="B37" s="30" t="s">
        <v>25</v>
      </c>
      <c r="C37" s="19">
        <v>46188</v>
      </c>
      <c r="D37" s="19">
        <v>46177</v>
      </c>
      <c r="E37" s="19">
        <v>46507</v>
      </c>
      <c r="F37" s="8">
        <v>46613</v>
      </c>
      <c r="G37" s="9">
        <f t="shared" si="5"/>
        <v>14.533333333333333</v>
      </c>
      <c r="H37" s="10" t="s">
        <v>46</v>
      </c>
      <c r="I37" s="20">
        <v>0.05</v>
      </c>
      <c r="J37" s="9">
        <f t="shared" si="6"/>
        <v>11.633333333333333</v>
      </c>
      <c r="K37" s="43" t="s">
        <v>48</v>
      </c>
      <c r="L37" s="85"/>
      <c r="M37" s="82"/>
    </row>
    <row r="38" spans="1:13" ht="18">
      <c r="A38" s="31">
        <v>14</v>
      </c>
      <c r="B38" s="30" t="s">
        <v>27</v>
      </c>
      <c r="C38" s="22">
        <v>46148</v>
      </c>
      <c r="D38" s="22">
        <v>46159</v>
      </c>
      <c r="E38" s="22">
        <v>46604</v>
      </c>
      <c r="F38" s="23">
        <v>46691</v>
      </c>
      <c r="G38" s="24">
        <f t="shared" si="5"/>
        <v>17.733333333333334</v>
      </c>
      <c r="H38" s="25" t="s">
        <v>46</v>
      </c>
      <c r="I38" s="26">
        <v>0.05</v>
      </c>
      <c r="J38" s="24">
        <f t="shared" si="6"/>
        <v>14.233333333333333</v>
      </c>
      <c r="K38" s="43" t="s">
        <v>48</v>
      </c>
      <c r="L38" s="85"/>
      <c r="M38" s="82"/>
    </row>
    <row r="39" spans="1:13" ht="18">
      <c r="A39" s="31">
        <v>15</v>
      </c>
      <c r="B39" s="30" t="s">
        <v>28</v>
      </c>
      <c r="C39" s="19">
        <v>46188</v>
      </c>
      <c r="D39" s="19">
        <v>46177</v>
      </c>
      <c r="E39" s="19">
        <v>46568</v>
      </c>
      <c r="F39" s="8">
        <v>46706</v>
      </c>
      <c r="G39" s="9">
        <f t="shared" si="5"/>
        <v>17.633333333333333</v>
      </c>
      <c r="H39" s="10" t="s">
        <v>46</v>
      </c>
      <c r="I39" s="20">
        <v>0.1</v>
      </c>
      <c r="J39" s="9">
        <f t="shared" si="6"/>
        <v>14.733333333333333</v>
      </c>
      <c r="K39" s="43" t="s">
        <v>48</v>
      </c>
      <c r="L39" s="85"/>
      <c r="M39" s="82"/>
    </row>
    <row r="40" spans="1:13" ht="18">
      <c r="A40" s="31">
        <v>16</v>
      </c>
      <c r="B40" s="30" t="s">
        <v>29</v>
      </c>
      <c r="C40" s="19">
        <v>46295</v>
      </c>
      <c r="D40" s="19"/>
      <c r="E40" s="19">
        <v>46842</v>
      </c>
      <c r="F40" s="8"/>
      <c r="G40" s="9"/>
      <c r="H40" s="10"/>
      <c r="I40" s="20"/>
      <c r="J40" s="9"/>
      <c r="K40" s="43" t="s">
        <v>51</v>
      </c>
      <c r="L40" s="53"/>
      <c r="M40" s="82"/>
    </row>
    <row r="41" spans="1:13" ht="18">
      <c r="A41" s="31">
        <v>17</v>
      </c>
      <c r="B41" s="30" t="s">
        <v>34</v>
      </c>
      <c r="C41" s="19">
        <v>46280</v>
      </c>
      <c r="D41" s="33"/>
      <c r="E41" s="19">
        <v>46735</v>
      </c>
      <c r="F41" s="34"/>
      <c r="G41" s="34"/>
      <c r="H41" s="35"/>
      <c r="I41" s="33"/>
      <c r="J41" s="33"/>
      <c r="K41" s="43" t="s">
        <v>51</v>
      </c>
      <c r="L41" s="53"/>
      <c r="M41" s="82"/>
    </row>
    <row r="42" spans="1:13" ht="17.399999999999999">
      <c r="A42" s="48"/>
      <c r="B42" s="48"/>
      <c r="C42" s="48"/>
      <c r="D42" s="48"/>
      <c r="E42" s="48"/>
      <c r="F42" s="87"/>
      <c r="G42" s="88"/>
      <c r="H42" s="86">
        <f>AVERAGE(H5:H41)</f>
        <v>0.90250000000000008</v>
      </c>
      <c r="I42" s="86">
        <f>AVERAGE(I5:I41)</f>
        <v>0.41000000000000003</v>
      </c>
      <c r="J42" s="88">
        <f>SUM(J5:J41)</f>
        <v>217.6999999999999</v>
      </c>
      <c r="K42" s="66"/>
      <c r="L42" s="86">
        <f>H42-I42</f>
        <v>0.49250000000000005</v>
      </c>
      <c r="M42" s="83"/>
    </row>
    <row r="43" spans="1:13" ht="17.399999999999999">
      <c r="I43" s="155"/>
      <c r="J43" s="156"/>
    </row>
    <row r="46" spans="1:13" ht="17.399999999999999">
      <c r="B46" s="57" t="s">
        <v>35</v>
      </c>
      <c r="C46" s="58" t="s">
        <v>52</v>
      </c>
      <c r="D46" s="58" t="s">
        <v>53</v>
      </c>
      <c r="E46" s="58" t="s">
        <v>57</v>
      </c>
      <c r="F46" s="58" t="s">
        <v>58</v>
      </c>
      <c r="G46" s="59" t="s">
        <v>182</v>
      </c>
      <c r="H46" s="60"/>
      <c r="I46" s="62" t="s">
        <v>64</v>
      </c>
      <c r="J46" s="62"/>
      <c r="K46" s="62"/>
      <c r="L46" s="61"/>
      <c r="M46" s="61"/>
    </row>
    <row r="47" spans="1:13" ht="18">
      <c r="B47" s="52" t="s">
        <v>54</v>
      </c>
      <c r="C47" s="55" t="s">
        <v>168</v>
      </c>
      <c r="D47" s="141" t="s">
        <v>55</v>
      </c>
      <c r="E47" s="144"/>
      <c r="F47" s="147"/>
    </row>
    <row r="48" spans="1:13" ht="18">
      <c r="B48" s="52"/>
      <c r="C48" s="53" t="s">
        <v>169</v>
      </c>
      <c r="D48" s="142" t="s">
        <v>56</v>
      </c>
      <c r="E48" s="145"/>
      <c r="F48" s="148"/>
    </row>
    <row r="49" spans="2:6" ht="17.399999999999999">
      <c r="B49" s="57" t="s">
        <v>170</v>
      </c>
      <c r="C49" s="134" t="s">
        <v>55</v>
      </c>
      <c r="D49" s="143"/>
      <c r="E49" s="146"/>
      <c r="F49" s="149"/>
    </row>
    <row r="50" spans="2:6" ht="18">
      <c r="C50" s="135" t="s">
        <v>0</v>
      </c>
      <c r="D50" s="31" t="s">
        <v>3</v>
      </c>
      <c r="E50" s="151" t="s">
        <v>59</v>
      </c>
      <c r="F50" s="151" t="s">
        <v>59</v>
      </c>
    </row>
    <row r="51" spans="2:6" ht="18">
      <c r="C51" s="136" t="s">
        <v>1</v>
      </c>
      <c r="D51" s="31" t="s">
        <v>4</v>
      </c>
      <c r="E51" s="152" t="s">
        <v>60</v>
      </c>
      <c r="F51" s="152" t="s">
        <v>60</v>
      </c>
    </row>
    <row r="52" spans="2:6" ht="18">
      <c r="C52" s="137" t="s">
        <v>2</v>
      </c>
      <c r="D52" s="31" t="s">
        <v>9</v>
      </c>
      <c r="E52" s="152" t="s">
        <v>61</v>
      </c>
      <c r="F52" s="152" t="s">
        <v>61</v>
      </c>
    </row>
    <row r="53" spans="2:6" ht="18">
      <c r="C53" s="137" t="s">
        <v>5</v>
      </c>
      <c r="D53" s="31" t="s">
        <v>10</v>
      </c>
      <c r="E53" s="152" t="s">
        <v>62</v>
      </c>
      <c r="F53" s="152" t="s">
        <v>62</v>
      </c>
    </row>
    <row r="54" spans="2:6" ht="16.8">
      <c r="C54" s="138" t="s">
        <v>6</v>
      </c>
      <c r="D54" s="2" t="s">
        <v>47</v>
      </c>
    </row>
    <row r="55" spans="2:6" ht="15.6">
      <c r="C55" s="138" t="s">
        <v>7</v>
      </c>
      <c r="D55" s="31" t="s">
        <v>15</v>
      </c>
    </row>
    <row r="56" spans="2:6" ht="15.6">
      <c r="C56" s="138" t="s">
        <v>8</v>
      </c>
      <c r="D56" s="31" t="s">
        <v>18</v>
      </c>
    </row>
    <row r="57" spans="2:6" ht="15.6">
      <c r="C57" s="138" t="s">
        <v>11</v>
      </c>
      <c r="D57" s="137" t="s">
        <v>19</v>
      </c>
    </row>
    <row r="58" spans="2:6" ht="15.6">
      <c r="C58" s="138" t="s">
        <v>12</v>
      </c>
      <c r="D58" s="31" t="s">
        <v>20</v>
      </c>
    </row>
    <row r="59" spans="2:6" ht="15.6">
      <c r="C59" s="137" t="s">
        <v>13</v>
      </c>
      <c r="D59" s="31" t="s">
        <v>21</v>
      </c>
    </row>
    <row r="60" spans="2:6" ht="15.6">
      <c r="C60" s="137" t="s">
        <v>14</v>
      </c>
      <c r="D60" s="31" t="s">
        <v>22</v>
      </c>
    </row>
    <row r="61" spans="2:6" ht="15.6">
      <c r="C61" s="137" t="s">
        <v>16</v>
      </c>
      <c r="D61" s="31" t="s">
        <v>24</v>
      </c>
    </row>
    <row r="62" spans="2:6" ht="15.6">
      <c r="C62" s="137" t="s">
        <v>17</v>
      </c>
      <c r="D62" s="31" t="s">
        <v>25</v>
      </c>
    </row>
    <row r="63" spans="2:6" ht="15.6">
      <c r="C63" s="137" t="s">
        <v>23</v>
      </c>
      <c r="D63" s="31" t="s">
        <v>27</v>
      </c>
    </row>
    <row r="64" spans="2:6" ht="15.6">
      <c r="C64" s="137" t="s">
        <v>26</v>
      </c>
      <c r="D64" s="31" t="s">
        <v>28</v>
      </c>
    </row>
    <row r="65" spans="3:4" ht="15.6">
      <c r="C65" s="31" t="s">
        <v>30</v>
      </c>
      <c r="D65" s="31" t="s">
        <v>29</v>
      </c>
    </row>
    <row r="66" spans="3:4" ht="15.6">
      <c r="C66" s="31" t="s">
        <v>31</v>
      </c>
      <c r="D66" s="31" t="s">
        <v>34</v>
      </c>
    </row>
    <row r="67" spans="3:4" ht="15.6">
      <c r="C67" s="31" t="s">
        <v>32</v>
      </c>
      <c r="D67" s="139"/>
    </row>
    <row r="68" spans="3:4" ht="15.6">
      <c r="C68" s="31" t="s">
        <v>33</v>
      </c>
      <c r="D68" s="139"/>
    </row>
    <row r="69" spans="3:4" ht="17.399999999999999">
      <c r="C69" s="150" t="s">
        <v>171</v>
      </c>
      <c r="D69" s="150"/>
    </row>
    <row r="70" spans="3:4" ht="17.399999999999999">
      <c r="C70" s="140" t="s">
        <v>172</v>
      </c>
      <c r="D70" s="49" t="s">
        <v>177</v>
      </c>
    </row>
    <row r="71" spans="3:4" ht="17.399999999999999">
      <c r="C71" s="140" t="s">
        <v>173</v>
      </c>
      <c r="D71" s="49" t="s">
        <v>178</v>
      </c>
    </row>
    <row r="72" spans="3:4" ht="17.399999999999999">
      <c r="C72" s="140" t="s">
        <v>174</v>
      </c>
      <c r="D72" s="49" t="s">
        <v>179</v>
      </c>
    </row>
    <row r="73" spans="3:4" ht="17.399999999999999">
      <c r="C73" s="140" t="s">
        <v>175</v>
      </c>
      <c r="D73" s="49" t="s">
        <v>180</v>
      </c>
    </row>
    <row r="74" spans="3:4" ht="17.399999999999999">
      <c r="C74" s="140" t="s">
        <v>176</v>
      </c>
      <c r="D74" s="49" t="s">
        <v>181</v>
      </c>
    </row>
  </sheetData>
  <mergeCells count="16">
    <mergeCell ref="I46:K46"/>
    <mergeCell ref="C69:D69"/>
    <mergeCell ref="C49:D49"/>
    <mergeCell ref="A2:A3"/>
    <mergeCell ref="B47:B48"/>
    <mergeCell ref="G46:H46"/>
    <mergeCell ref="K2:K3"/>
    <mergeCell ref="L2:L3"/>
    <mergeCell ref="M2:M3"/>
    <mergeCell ref="A4:M4"/>
    <mergeCell ref="B2:B3"/>
    <mergeCell ref="C2:D2"/>
    <mergeCell ref="E2:F2"/>
    <mergeCell ref="G2:G3"/>
    <mergeCell ref="H2:I2"/>
    <mergeCell ref="J2:J3"/>
  </mergeCells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mugle</dc:creator>
  <cp:lastModifiedBy>sandip mugle</cp:lastModifiedBy>
  <dcterms:created xsi:type="dcterms:W3CDTF">2026-09-17T12:37:00Z</dcterms:created>
  <dcterms:modified xsi:type="dcterms:W3CDTF">2026-09-19T07:19:29Z</dcterms:modified>
</cp:coreProperties>
</file>